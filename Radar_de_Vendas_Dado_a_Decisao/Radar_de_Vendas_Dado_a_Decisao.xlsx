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drawings/drawing3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5df90c4a7d3cc8b/Área de Trabalho/material de estudo/Radar_de_Vendas_Dado_a_Decisao/"/>
    </mc:Choice>
  </mc:AlternateContent>
  <xr:revisionPtr revIDLastSave="8" documentId="11_37860A492EBA7C1E9AD426397B9CEB1FD1F193C5" xr6:coauthVersionLast="47" xr6:coauthVersionMax="47" xr10:uidLastSave="{868F944F-E02F-4653-9BCA-64A9DA6D2F54}"/>
  <bookViews>
    <workbookView xWindow="-120" yWindow="-120" windowWidth="29040" windowHeight="15720" activeTab="3" xr2:uid="{00000000-000D-0000-FFFF-FFFF00000000}"/>
  </bookViews>
  <sheets>
    <sheet name="Projeto" sheetId="1" r:id="rId1"/>
    <sheet name="Base de vendas" sheetId="3" r:id="rId2"/>
    <sheet name="Minha análise" sheetId="2" r:id="rId3"/>
    <sheet name="Planilha1" sheetId="4" r:id="rId4"/>
    <sheet name="Planilha2" sheetId="5" r:id="rId5"/>
  </sheets>
  <definedNames>
    <definedName name="_xlcn.WorksheetConnection_Radar_de_Vendas_Dado_a_Decisao.xlsxVendas1" hidden="1">Vendas[]</definedName>
    <definedName name="SegmentaçãodeDados_Cidade">#N/A</definedName>
  </definedNames>
  <calcPr calcId="191029"/>
  <pivotCaches>
    <pivotCache cacheId="709" r:id="rId6"/>
    <pivotCache cacheId="712" r:id="rId7"/>
    <pivotCache cacheId="715" r:id="rId8"/>
    <pivotCache cacheId="718" r:id="rId9"/>
  </pivotCaches>
  <extLst>
    <ext xmlns:x14="http://schemas.microsoft.com/office/spreadsheetml/2009/9/main" uri="{876F7934-8845-4945-9796-88D515C7AA90}">
      <x14:pivotCaches>
        <pivotCache cacheId="4" r:id="rId10"/>
      </x14:pivotCaches>
    </ex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Vendas" name="Vendas" connection="WorksheetConnection_Radar_de_Vendas_Dado_a_Decisao.xlsx!Venda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8" i="4" l="1"/>
  <c r="F23" i="4"/>
  <c r="M366" i="3"/>
  <c r="H365" i="3"/>
  <c r="I365" i="3"/>
  <c r="L365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K5" i="3"/>
  <c r="K6" i="3"/>
  <c r="G28" i="4"/>
  <c r="G23" i="4"/>
  <c r="L5" i="3" l="1"/>
  <c r="M5" i="3" s="1"/>
  <c r="L6" i="3"/>
  <c r="M6" i="3" s="1"/>
  <c r="L9" i="3"/>
  <c r="M9" i="3" s="1"/>
  <c r="L8" i="3"/>
  <c r="M8" i="3" s="1"/>
  <c r="L7" i="3"/>
  <c r="M7" i="3" s="1"/>
  <c r="L10" i="3" l="1"/>
  <c r="M10" i="3" s="1"/>
  <c r="L11" i="3" l="1"/>
  <c r="M11" i="3" s="1"/>
  <c r="L12" i="3" l="1"/>
  <c r="M12" i="3" s="1"/>
  <c r="L13" i="3" l="1"/>
  <c r="M13" i="3" s="1"/>
  <c r="L14" i="3" l="1"/>
  <c r="M14" i="3" s="1"/>
  <c r="L16" i="3" l="1"/>
  <c r="M16" i="3" s="1"/>
  <c r="L15" i="3"/>
  <c r="M15" i="3" s="1"/>
  <c r="L17" i="3" l="1"/>
  <c r="M17" i="3"/>
  <c r="L18" i="3" l="1"/>
  <c r="M18" i="3" s="1"/>
  <c r="L20" i="3" l="1"/>
  <c r="M20" i="3" s="1"/>
  <c r="L19" i="3"/>
  <c r="M19" i="3" s="1"/>
  <c r="L21" i="3" l="1"/>
  <c r="M21" i="3" s="1"/>
  <c r="L22" i="3" l="1"/>
  <c r="M22" i="3" s="1"/>
  <c r="L24" i="3" l="1"/>
  <c r="M24" i="3" s="1"/>
  <c r="L23" i="3"/>
  <c r="M23" i="3" s="1"/>
  <c r="L25" i="3" l="1"/>
  <c r="M25" i="3" s="1"/>
  <c r="L26" i="3" l="1"/>
  <c r="M26" i="3" s="1"/>
  <c r="L27" i="3" l="1"/>
  <c r="M27" i="3" s="1"/>
  <c r="L28" i="3" l="1"/>
  <c r="M28" i="3" s="1"/>
  <c r="L30" i="3" l="1"/>
  <c r="M30" i="3" s="1"/>
  <c r="L29" i="3"/>
  <c r="M29" i="3" s="1"/>
  <c r="L31" i="3" l="1"/>
  <c r="M31" i="3" s="1"/>
  <c r="L32" i="3" l="1"/>
  <c r="M32" i="3" s="1"/>
  <c r="L33" i="3" l="1"/>
  <c r="M33" i="3" s="1"/>
  <c r="L34" i="3" l="1"/>
  <c r="M34" i="3" s="1"/>
  <c r="L35" i="3" l="1"/>
  <c r="M35" i="3" s="1"/>
  <c r="L36" i="3"/>
  <c r="M36" i="3" s="1"/>
  <c r="L38" i="3" l="1"/>
  <c r="M38" i="3" s="1"/>
  <c r="L37" i="3"/>
  <c r="M37" i="3" s="1"/>
  <c r="L39" i="3" l="1"/>
  <c r="M39" i="3" s="1"/>
  <c r="L41" i="3" l="1"/>
  <c r="M41" i="3" s="1"/>
  <c r="L40" i="3"/>
  <c r="M40" i="3" s="1"/>
  <c r="L42" i="3" l="1"/>
  <c r="M42" i="3" s="1"/>
  <c r="L43" i="3" l="1"/>
  <c r="M43" i="3" s="1"/>
  <c r="L44" i="3" l="1"/>
  <c r="M44" i="3" s="1"/>
  <c r="L46" i="3" l="1"/>
  <c r="M46" i="3" s="1"/>
  <c r="L45" i="3"/>
  <c r="M45" i="3" s="1"/>
  <c r="L48" i="3" l="1"/>
  <c r="M48" i="3" s="1"/>
  <c r="L47" i="3"/>
  <c r="M47" i="3" s="1"/>
  <c r="L49" i="3" l="1"/>
  <c r="M49" i="3" s="1"/>
  <c r="L50" i="3" l="1"/>
  <c r="M50" i="3" s="1"/>
  <c r="L51" i="3" l="1"/>
  <c r="M51" i="3" s="1"/>
  <c r="L52" i="3" l="1"/>
  <c r="M52" i="3" s="1"/>
  <c r="L53" i="3" l="1"/>
  <c r="M53" i="3" s="1"/>
  <c r="L54" i="3" l="1"/>
  <c r="M54" i="3" s="1"/>
  <c r="L55" i="3" l="1"/>
  <c r="M55" i="3" s="1"/>
  <c r="L56" i="3" l="1"/>
  <c r="M56" i="3" s="1"/>
  <c r="L57" i="3" l="1"/>
  <c r="M57" i="3" s="1"/>
  <c r="L58" i="3" l="1"/>
  <c r="M58" i="3" s="1"/>
  <c r="L59" i="3" l="1"/>
  <c r="M59" i="3" s="1"/>
  <c r="L60" i="3" l="1"/>
  <c r="M60" i="3" s="1"/>
  <c r="L61" i="3" l="1"/>
  <c r="M61" i="3" s="1"/>
  <c r="L62" i="3" l="1"/>
  <c r="M62" i="3" s="1"/>
  <c r="L63" i="3" l="1"/>
  <c r="M63" i="3" s="1"/>
  <c r="L64" i="3" l="1"/>
  <c r="M64" i="3" s="1"/>
  <c r="L65" i="3" l="1"/>
  <c r="M65" i="3" s="1"/>
  <c r="L66" i="3" l="1"/>
  <c r="M66" i="3" s="1"/>
  <c r="L67" i="3" l="1"/>
  <c r="M67" i="3" s="1"/>
  <c r="L68" i="3" l="1"/>
  <c r="M68" i="3" s="1"/>
  <c r="L69" i="3" l="1"/>
  <c r="M69" i="3" s="1"/>
  <c r="L70" i="3" l="1"/>
  <c r="M70" i="3" s="1"/>
  <c r="L71" i="3" l="1"/>
  <c r="M71" i="3" s="1"/>
  <c r="L72" i="3" l="1"/>
  <c r="M72" i="3" s="1"/>
  <c r="L73" i="3" l="1"/>
  <c r="M73" i="3" s="1"/>
  <c r="L74" i="3" l="1"/>
  <c r="M74" i="3" s="1"/>
  <c r="L75" i="3" l="1"/>
  <c r="M75" i="3" s="1"/>
  <c r="L76" i="3" l="1"/>
  <c r="M76" i="3" s="1"/>
  <c r="L77" i="3" l="1"/>
  <c r="M77" i="3" s="1"/>
  <c r="L78" i="3" l="1"/>
  <c r="M78" i="3" s="1"/>
  <c r="L79" i="3" l="1"/>
  <c r="M79" i="3" s="1"/>
  <c r="L80" i="3" l="1"/>
  <c r="M80" i="3" s="1"/>
  <c r="L81" i="3" l="1"/>
  <c r="M81" i="3" s="1"/>
  <c r="L82" i="3" l="1"/>
  <c r="M82" i="3" s="1"/>
  <c r="L83" i="3" l="1"/>
  <c r="M83" i="3" s="1"/>
  <c r="L84" i="3" l="1"/>
  <c r="M84" i="3" s="1"/>
  <c r="L85" i="3" l="1"/>
  <c r="M85" i="3" s="1"/>
  <c r="L86" i="3" l="1"/>
  <c r="M86" i="3" s="1"/>
  <c r="L87" i="3" l="1"/>
  <c r="M87" i="3" s="1"/>
  <c r="L88" i="3" l="1"/>
  <c r="M88" i="3" s="1"/>
  <c r="L89" i="3" l="1"/>
  <c r="M89" i="3" s="1"/>
  <c r="L90" i="3" l="1"/>
  <c r="M90" i="3" s="1"/>
  <c r="L91" i="3" l="1"/>
  <c r="M91" i="3" s="1"/>
  <c r="L92" i="3" l="1"/>
  <c r="M92" i="3" s="1"/>
  <c r="L93" i="3" l="1"/>
  <c r="M93" i="3" s="1"/>
  <c r="L94" i="3" l="1"/>
  <c r="M94" i="3" s="1"/>
  <c r="L95" i="3" l="1"/>
  <c r="M95" i="3" s="1"/>
  <c r="L96" i="3" l="1"/>
  <c r="M96" i="3" s="1"/>
  <c r="L97" i="3" l="1"/>
  <c r="M97" i="3" s="1"/>
  <c r="L98" i="3" l="1"/>
  <c r="M98" i="3" s="1"/>
  <c r="L99" i="3" l="1"/>
  <c r="M99" i="3" s="1"/>
  <c r="L100" i="3" l="1"/>
  <c r="M100" i="3" s="1"/>
  <c r="L101" i="3" l="1"/>
  <c r="M101" i="3" s="1"/>
  <c r="L102" i="3" l="1"/>
  <c r="M102" i="3" s="1"/>
  <c r="L103" i="3" l="1"/>
  <c r="M103" i="3" s="1"/>
  <c r="L104" i="3" l="1"/>
  <c r="M104" i="3" s="1"/>
  <c r="L105" i="3" l="1"/>
  <c r="M105" i="3" s="1"/>
  <c r="L106" i="3" l="1"/>
  <c r="M106" i="3" s="1"/>
  <c r="L107" i="3" l="1"/>
  <c r="M107" i="3" s="1"/>
  <c r="L108" i="3" l="1"/>
  <c r="M108" i="3" s="1"/>
  <c r="L109" i="3" l="1"/>
  <c r="M109" i="3" s="1"/>
  <c r="L110" i="3" l="1"/>
  <c r="M110" i="3" s="1"/>
  <c r="L111" i="3" l="1"/>
  <c r="M111" i="3" s="1"/>
  <c r="L112" i="3" l="1"/>
  <c r="M112" i="3" s="1"/>
  <c r="L113" i="3" l="1"/>
  <c r="M113" i="3" s="1"/>
  <c r="L114" i="3" l="1"/>
  <c r="M114" i="3" s="1"/>
  <c r="L115" i="3" l="1"/>
  <c r="M115" i="3" s="1"/>
  <c r="L116" i="3" l="1"/>
  <c r="M116" i="3" s="1"/>
  <c r="L117" i="3" l="1"/>
  <c r="M117" i="3" s="1"/>
  <c r="L118" i="3" l="1"/>
  <c r="M118" i="3" s="1"/>
  <c r="L119" i="3" l="1"/>
  <c r="M119" i="3" s="1"/>
  <c r="L120" i="3" l="1"/>
  <c r="M120" i="3" s="1"/>
  <c r="L121" i="3" l="1"/>
  <c r="M121" i="3" s="1"/>
  <c r="L122" i="3" l="1"/>
  <c r="M122" i="3" s="1"/>
  <c r="L123" i="3" l="1"/>
  <c r="M123" i="3" s="1"/>
  <c r="L124" i="3" l="1"/>
  <c r="M124" i="3" s="1"/>
  <c r="L125" i="3" l="1"/>
  <c r="M125" i="3" s="1"/>
  <c r="L126" i="3" l="1"/>
  <c r="M126" i="3" s="1"/>
  <c r="L127" i="3" l="1"/>
  <c r="M127" i="3" s="1"/>
  <c r="L128" i="3" l="1"/>
  <c r="M128" i="3" s="1"/>
  <c r="L129" i="3" l="1"/>
  <c r="M129" i="3" s="1"/>
  <c r="L130" i="3" l="1"/>
  <c r="M130" i="3" s="1"/>
  <c r="L131" i="3" l="1"/>
  <c r="M131" i="3" s="1"/>
  <c r="L132" i="3" l="1"/>
  <c r="M132" i="3" s="1"/>
  <c r="L133" i="3" l="1"/>
  <c r="M133" i="3" s="1"/>
  <c r="L134" i="3" l="1"/>
  <c r="M134" i="3" s="1"/>
  <c r="L135" i="3" l="1"/>
  <c r="M135" i="3" s="1"/>
  <c r="L136" i="3" l="1"/>
  <c r="M136" i="3" s="1"/>
  <c r="L137" i="3" l="1"/>
  <c r="M137" i="3" s="1"/>
  <c r="L138" i="3" l="1"/>
  <c r="M138" i="3" s="1"/>
  <c r="L139" i="3" l="1"/>
  <c r="M139" i="3" s="1"/>
  <c r="L140" i="3" l="1"/>
  <c r="M140" i="3" s="1"/>
  <c r="L141" i="3" l="1"/>
  <c r="M141" i="3" s="1"/>
  <c r="L142" i="3" l="1"/>
  <c r="M142" i="3" s="1"/>
  <c r="L143" i="3" l="1"/>
  <c r="M143" i="3" s="1"/>
  <c r="L144" i="3" l="1"/>
  <c r="M144" i="3" s="1"/>
  <c r="L145" i="3" l="1"/>
  <c r="M145" i="3" s="1"/>
  <c r="L146" i="3" l="1"/>
  <c r="M146" i="3" s="1"/>
  <c r="L147" i="3" l="1"/>
  <c r="M147" i="3" s="1"/>
  <c r="L148" i="3" l="1"/>
  <c r="M148" i="3" s="1"/>
  <c r="L149" i="3" l="1"/>
  <c r="M149" i="3"/>
  <c r="L150" i="3" l="1"/>
  <c r="M150" i="3" s="1"/>
  <c r="L151" i="3" l="1"/>
  <c r="M151" i="3"/>
  <c r="L152" i="3" l="1"/>
  <c r="M152" i="3" s="1"/>
  <c r="L153" i="3" l="1"/>
  <c r="M153" i="3" s="1"/>
  <c r="L154" i="3" l="1"/>
  <c r="M154" i="3" s="1"/>
  <c r="L155" i="3" l="1"/>
  <c r="M155" i="3" s="1"/>
  <c r="L156" i="3" l="1"/>
  <c r="M156" i="3" s="1"/>
  <c r="L157" i="3" l="1"/>
  <c r="M157" i="3" s="1"/>
  <c r="L158" i="3" l="1"/>
  <c r="M158" i="3" s="1"/>
  <c r="L159" i="3" l="1"/>
  <c r="M159" i="3" s="1"/>
  <c r="L160" i="3" l="1"/>
  <c r="M160" i="3" s="1"/>
  <c r="L161" i="3" l="1"/>
  <c r="M161" i="3" s="1"/>
  <c r="L162" i="3" l="1"/>
  <c r="M162" i="3" s="1"/>
  <c r="L163" i="3" l="1"/>
  <c r="M163" i="3" s="1"/>
  <c r="L164" i="3" l="1"/>
  <c r="M164" i="3" s="1"/>
  <c r="L165" i="3" l="1"/>
  <c r="M165" i="3" s="1"/>
  <c r="L166" i="3" l="1"/>
  <c r="M166" i="3" s="1"/>
  <c r="L167" i="3" l="1"/>
  <c r="M167" i="3" s="1"/>
  <c r="L168" i="3" l="1"/>
  <c r="M168" i="3" s="1"/>
  <c r="L169" i="3" l="1"/>
  <c r="M169" i="3" s="1"/>
  <c r="L170" i="3" l="1"/>
  <c r="M170" i="3" s="1"/>
  <c r="L171" i="3" l="1"/>
  <c r="M171" i="3" s="1"/>
  <c r="L172" i="3" l="1"/>
  <c r="M172" i="3" s="1"/>
  <c r="L173" i="3" l="1"/>
  <c r="M173" i="3" s="1"/>
  <c r="L174" i="3" l="1"/>
  <c r="M174" i="3" s="1"/>
  <c r="L175" i="3" l="1"/>
  <c r="M175" i="3"/>
  <c r="L176" i="3" l="1"/>
  <c r="M176" i="3" s="1"/>
  <c r="L177" i="3" l="1"/>
  <c r="M177" i="3" s="1"/>
  <c r="L178" i="3" l="1"/>
  <c r="M178" i="3" s="1"/>
  <c r="L179" i="3" l="1"/>
  <c r="M179" i="3" s="1"/>
  <c r="L180" i="3" l="1"/>
  <c r="M180" i="3" s="1"/>
  <c r="L181" i="3" l="1"/>
  <c r="M181" i="3" s="1"/>
  <c r="L182" i="3" l="1"/>
  <c r="M182" i="3" s="1"/>
  <c r="L183" i="3" l="1"/>
  <c r="M183" i="3" s="1"/>
  <c r="L184" i="3" l="1"/>
  <c r="M184" i="3" s="1"/>
  <c r="L185" i="3" l="1"/>
  <c r="M185" i="3" s="1"/>
  <c r="L186" i="3" l="1"/>
  <c r="M186" i="3" s="1"/>
  <c r="L187" i="3" l="1"/>
  <c r="M187" i="3" s="1"/>
  <c r="L188" i="3" l="1"/>
  <c r="M188" i="3" s="1"/>
  <c r="L189" i="3" l="1"/>
  <c r="M189" i="3" s="1"/>
  <c r="L190" i="3" l="1"/>
  <c r="M190" i="3" s="1"/>
  <c r="L191" i="3" l="1"/>
  <c r="M191" i="3" s="1"/>
  <c r="L192" i="3" l="1"/>
  <c r="M192" i="3" s="1"/>
  <c r="L193" i="3" l="1"/>
  <c r="M193" i="3" s="1"/>
  <c r="L194" i="3" l="1"/>
  <c r="M194" i="3" s="1"/>
  <c r="L195" i="3" l="1"/>
  <c r="M195" i="3" s="1"/>
  <c r="L196" i="3" l="1"/>
  <c r="M196" i="3" s="1"/>
  <c r="L197" i="3" l="1"/>
  <c r="M197" i="3" s="1"/>
  <c r="L198" i="3" l="1"/>
  <c r="M198" i="3" s="1"/>
  <c r="L199" i="3" l="1"/>
  <c r="M199" i="3" s="1"/>
  <c r="L200" i="3" l="1"/>
  <c r="M200" i="3" s="1"/>
  <c r="L201" i="3" l="1"/>
  <c r="M201" i="3" s="1"/>
  <c r="L202" i="3" l="1"/>
  <c r="M202" i="3" s="1"/>
  <c r="L203" i="3" l="1"/>
  <c r="M203" i="3" s="1"/>
  <c r="L204" i="3" l="1"/>
  <c r="M204" i="3" s="1"/>
  <c r="L205" i="3" l="1"/>
  <c r="M205" i="3" s="1"/>
  <c r="L206" i="3" l="1"/>
  <c r="M206" i="3" s="1"/>
  <c r="L207" i="3" l="1"/>
  <c r="M207" i="3"/>
  <c r="L208" i="3" l="1"/>
  <c r="M208" i="3" s="1"/>
  <c r="L209" i="3" l="1"/>
  <c r="M209" i="3" s="1"/>
  <c r="L210" i="3" l="1"/>
  <c r="M210" i="3" s="1"/>
  <c r="L211" i="3" l="1"/>
  <c r="M211" i="3" s="1"/>
  <c r="L212" i="3" l="1"/>
  <c r="M212" i="3" s="1"/>
  <c r="L213" i="3" l="1"/>
  <c r="M213" i="3" s="1"/>
  <c r="L214" i="3" l="1"/>
  <c r="M214" i="3" s="1"/>
  <c r="L215" i="3" l="1"/>
  <c r="M215" i="3" s="1"/>
  <c r="L216" i="3" l="1"/>
  <c r="M216" i="3" s="1"/>
  <c r="L217" i="3" l="1"/>
  <c r="M217" i="3" s="1"/>
  <c r="L218" i="3" l="1"/>
  <c r="M218" i="3" s="1"/>
  <c r="L219" i="3" l="1"/>
  <c r="M219" i="3" s="1"/>
  <c r="L220" i="3" l="1"/>
  <c r="M220" i="3" s="1"/>
  <c r="L221" i="3" l="1"/>
  <c r="M221" i="3" s="1"/>
  <c r="L222" i="3" l="1"/>
  <c r="M222" i="3" s="1"/>
  <c r="L223" i="3" l="1"/>
  <c r="M223" i="3" s="1"/>
  <c r="L224" i="3" l="1"/>
  <c r="M224" i="3" s="1"/>
  <c r="L225" i="3" l="1"/>
  <c r="M225" i="3" s="1"/>
  <c r="L226" i="3" l="1"/>
  <c r="M226" i="3" s="1"/>
  <c r="L227" i="3" l="1"/>
  <c r="M227" i="3" s="1"/>
  <c r="L228" i="3" l="1"/>
  <c r="M228" i="3" s="1"/>
  <c r="L229" i="3" l="1"/>
  <c r="M229" i="3" s="1"/>
  <c r="L230" i="3" l="1"/>
  <c r="M230" i="3" s="1"/>
  <c r="L231" i="3" l="1"/>
  <c r="M231" i="3" s="1"/>
  <c r="L232" i="3" l="1"/>
  <c r="M232" i="3" s="1"/>
  <c r="L233" i="3" l="1"/>
  <c r="M233" i="3" s="1"/>
  <c r="L234" i="3" l="1"/>
  <c r="M234" i="3" s="1"/>
  <c r="L235" i="3" l="1"/>
  <c r="M235" i="3" s="1"/>
  <c r="L236" i="3" l="1"/>
  <c r="M236" i="3" s="1"/>
  <c r="L237" i="3" l="1"/>
  <c r="M237" i="3" s="1"/>
  <c r="L238" i="3" l="1"/>
  <c r="M238" i="3" s="1"/>
  <c r="L239" i="3" l="1"/>
  <c r="M239" i="3" s="1"/>
  <c r="L240" i="3" l="1"/>
  <c r="M240" i="3" s="1"/>
  <c r="L241" i="3" l="1"/>
  <c r="M241" i="3" s="1"/>
  <c r="L242" i="3" l="1"/>
  <c r="M242" i="3" s="1"/>
  <c r="L243" i="3" l="1"/>
  <c r="M243" i="3" s="1"/>
  <c r="L244" i="3" l="1"/>
  <c r="M244" i="3" s="1"/>
  <c r="L245" i="3" l="1"/>
  <c r="M245" i="3" s="1"/>
  <c r="L246" i="3" l="1"/>
  <c r="M246" i="3" s="1"/>
  <c r="L247" i="3" l="1"/>
  <c r="M247" i="3" s="1"/>
  <c r="L248" i="3" l="1"/>
  <c r="M248" i="3" s="1"/>
  <c r="L249" i="3" l="1"/>
  <c r="M249" i="3" s="1"/>
  <c r="L250" i="3" l="1"/>
  <c r="M250" i="3" s="1"/>
  <c r="L251" i="3" l="1"/>
  <c r="M251" i="3" s="1"/>
  <c r="L252" i="3" l="1"/>
  <c r="M252" i="3" s="1"/>
  <c r="L253" i="3" l="1"/>
  <c r="M253" i="3" s="1"/>
  <c r="L254" i="3" l="1"/>
  <c r="M254" i="3" s="1"/>
  <c r="L255" i="3" l="1"/>
  <c r="M255" i="3" s="1"/>
  <c r="L256" i="3" l="1"/>
  <c r="M256" i="3" s="1"/>
  <c r="L257" i="3" l="1"/>
  <c r="M257" i="3" s="1"/>
  <c r="L258" i="3" l="1"/>
  <c r="M258" i="3" s="1"/>
  <c r="L259" i="3" l="1"/>
  <c r="M259" i="3" s="1"/>
  <c r="L260" i="3" l="1"/>
  <c r="M260" i="3" s="1"/>
  <c r="L261" i="3" l="1"/>
  <c r="M261" i="3" s="1"/>
  <c r="L262" i="3" l="1"/>
  <c r="M262" i="3" s="1"/>
  <c r="L263" i="3" l="1"/>
  <c r="M263" i="3" s="1"/>
  <c r="L264" i="3" l="1"/>
  <c r="M264" i="3" s="1"/>
  <c r="L265" i="3" l="1"/>
  <c r="M265" i="3" s="1"/>
  <c r="L266" i="3" l="1"/>
  <c r="M266" i="3" s="1"/>
  <c r="L267" i="3" l="1"/>
  <c r="M267" i="3" s="1"/>
  <c r="L268" i="3" l="1"/>
  <c r="M268" i="3" s="1"/>
  <c r="L269" i="3" l="1"/>
  <c r="M269" i="3" s="1"/>
  <c r="L270" i="3" l="1"/>
  <c r="M270" i="3" s="1"/>
  <c r="L271" i="3" l="1"/>
  <c r="M271" i="3"/>
  <c r="L272" i="3" l="1"/>
  <c r="M272" i="3" s="1"/>
  <c r="L273" i="3" l="1"/>
  <c r="M273" i="3" s="1"/>
  <c r="L274" i="3" l="1"/>
  <c r="M274" i="3" s="1"/>
  <c r="L275" i="3"/>
  <c r="M275" i="3" s="1"/>
  <c r="L277" i="3" l="1"/>
  <c r="M277" i="3" s="1"/>
  <c r="L276" i="3"/>
  <c r="M276" i="3" s="1"/>
  <c r="L278" i="3" l="1"/>
  <c r="M278" i="3" s="1"/>
  <c r="L279" i="3" l="1"/>
  <c r="M279" i="3"/>
  <c r="L280" i="3" l="1"/>
  <c r="M280" i="3" s="1"/>
  <c r="L281" i="3" l="1"/>
  <c r="M281" i="3" s="1"/>
  <c r="L282" i="3" l="1"/>
  <c r="M282" i="3"/>
  <c r="L283" i="3" l="1"/>
  <c r="M283" i="3" s="1"/>
  <c r="L284" i="3" l="1"/>
  <c r="M284" i="3" s="1"/>
  <c r="L285" i="3" l="1"/>
  <c r="M285" i="3" s="1"/>
  <c r="L286" i="3" l="1"/>
  <c r="M286" i="3" s="1"/>
  <c r="L287" i="3" l="1"/>
  <c r="M287" i="3"/>
  <c r="L288" i="3" l="1"/>
  <c r="M288" i="3" s="1"/>
  <c r="L289" i="3" l="1"/>
  <c r="M289" i="3" s="1"/>
  <c r="L290" i="3" l="1"/>
  <c r="M290" i="3" s="1"/>
  <c r="L291" i="3" l="1"/>
  <c r="M291" i="3" s="1"/>
  <c r="L292" i="3" l="1"/>
  <c r="M292" i="3" s="1"/>
  <c r="L293" i="3" l="1"/>
  <c r="M293" i="3" s="1"/>
  <c r="L294" i="3" l="1"/>
  <c r="M294" i="3" s="1"/>
  <c r="L295" i="3" l="1"/>
  <c r="M295" i="3" s="1"/>
  <c r="L296" i="3" l="1"/>
  <c r="M296" i="3" s="1"/>
  <c r="L297" i="3" l="1"/>
  <c r="M297" i="3" s="1"/>
  <c r="L298" i="3" l="1"/>
  <c r="M298" i="3" s="1"/>
  <c r="L299" i="3" l="1"/>
  <c r="M299" i="3" s="1"/>
  <c r="L300" i="3" l="1"/>
  <c r="M300" i="3" s="1"/>
  <c r="L301" i="3" l="1"/>
  <c r="M301" i="3" s="1"/>
  <c r="L302" i="3" l="1"/>
  <c r="M302" i="3" s="1"/>
  <c r="L303" i="3" l="1"/>
  <c r="M303" i="3" s="1"/>
  <c r="L304" i="3" l="1"/>
  <c r="M304" i="3" s="1"/>
  <c r="L305" i="3" l="1"/>
  <c r="M305" i="3" s="1"/>
  <c r="L306" i="3" l="1"/>
  <c r="M306" i="3" s="1"/>
  <c r="L307" i="3" l="1"/>
  <c r="M307" i="3"/>
  <c r="L308" i="3" l="1"/>
  <c r="M308" i="3" s="1"/>
  <c r="L309" i="3" l="1"/>
  <c r="M309" i="3" s="1"/>
  <c r="L310" i="3" l="1"/>
  <c r="M310" i="3" s="1"/>
  <c r="L311" i="3" l="1"/>
  <c r="M311" i="3" s="1"/>
  <c r="L312" i="3" l="1"/>
  <c r="M312" i="3" s="1"/>
  <c r="L313" i="3" l="1"/>
  <c r="M313" i="3" s="1"/>
  <c r="L314" i="3" l="1"/>
  <c r="M314" i="3" s="1"/>
  <c r="L315" i="3" l="1"/>
  <c r="M315" i="3" s="1"/>
  <c r="L316" i="3" l="1"/>
  <c r="M316" i="3" s="1"/>
  <c r="L317" i="3" l="1"/>
  <c r="M317" i="3" s="1"/>
  <c r="L318" i="3" l="1"/>
  <c r="M318" i="3" s="1"/>
  <c r="L319" i="3" l="1"/>
  <c r="M319" i="3" s="1"/>
  <c r="L320" i="3" l="1"/>
  <c r="M320" i="3" s="1"/>
  <c r="L321" i="3" l="1"/>
  <c r="M321" i="3" s="1"/>
  <c r="L322" i="3" l="1"/>
  <c r="M322" i="3" s="1"/>
  <c r="L323" i="3" l="1"/>
  <c r="M323" i="3" s="1"/>
  <c r="L324" i="3" l="1"/>
  <c r="M324" i="3" s="1"/>
  <c r="L325" i="3" l="1"/>
  <c r="M325" i="3" s="1"/>
  <c r="L326" i="3" l="1"/>
  <c r="M326" i="3" s="1"/>
  <c r="L327" i="3" l="1"/>
  <c r="M327" i="3" s="1"/>
  <c r="L328" i="3" l="1"/>
  <c r="M328" i="3" s="1"/>
  <c r="L329" i="3" l="1"/>
  <c r="M329" i="3" s="1"/>
  <c r="L330" i="3" l="1"/>
  <c r="M330" i="3" s="1"/>
  <c r="L331" i="3" l="1"/>
  <c r="M331" i="3" s="1"/>
  <c r="L332" i="3" l="1"/>
  <c r="M332" i="3" s="1"/>
  <c r="L333" i="3" l="1"/>
  <c r="M333" i="3"/>
  <c r="L334" i="3" l="1"/>
  <c r="M334" i="3" s="1"/>
  <c r="L335" i="3" l="1"/>
  <c r="M335" i="3" s="1"/>
  <c r="L336" i="3" l="1"/>
  <c r="M336" i="3"/>
  <c r="L337" i="3" l="1"/>
  <c r="M337" i="3" s="1"/>
  <c r="L338" i="3" l="1"/>
  <c r="M338" i="3" s="1"/>
  <c r="L339" i="3" l="1"/>
  <c r="M339" i="3" s="1"/>
  <c r="L340" i="3" l="1"/>
  <c r="M340" i="3"/>
  <c r="L341" i="3" l="1"/>
  <c r="M341" i="3" s="1"/>
  <c r="L342" i="3" l="1"/>
  <c r="M342" i="3"/>
  <c r="L343" i="3" l="1"/>
  <c r="M343" i="3" s="1"/>
  <c r="L344" i="3" l="1"/>
  <c r="M344" i="3" s="1"/>
  <c r="L345" i="3" l="1"/>
  <c r="M345" i="3" s="1"/>
  <c r="L346" i="3" l="1"/>
  <c r="M346" i="3" s="1"/>
  <c r="L347" i="3" l="1"/>
  <c r="M347" i="3" s="1"/>
  <c r="L348" i="3" l="1"/>
  <c r="M348" i="3" s="1"/>
  <c r="L349" i="3" l="1"/>
  <c r="M349" i="3" s="1"/>
  <c r="L350" i="3" l="1"/>
  <c r="M350" i="3" s="1"/>
  <c r="L351" i="3" l="1"/>
  <c r="M351" i="3" s="1"/>
  <c r="L352" i="3" l="1"/>
  <c r="M352" i="3" s="1"/>
  <c r="L353" i="3" l="1"/>
  <c r="M353" i="3" s="1"/>
  <c r="L354" i="3" l="1"/>
  <c r="M354" i="3" s="1"/>
  <c r="L355" i="3" l="1"/>
  <c r="M355" i="3" s="1"/>
  <c r="L356" i="3" l="1"/>
  <c r="M356" i="3" s="1"/>
  <c r="L357" i="3" l="1"/>
  <c r="M357" i="3"/>
  <c r="L358" i="3" l="1"/>
  <c r="M358" i="3" s="1"/>
  <c r="L359" i="3" l="1"/>
  <c r="M359" i="3" s="1"/>
  <c r="L360" i="3" l="1"/>
  <c r="M360" i="3" s="1"/>
  <c r="L361" i="3" l="1"/>
  <c r="M361" i="3" s="1"/>
  <c r="L362" i="3" l="1"/>
  <c r="M362" i="3" s="1"/>
  <c r="L363" i="3"/>
  <c r="M363" i="3" s="1"/>
  <c r="L364" i="3" l="1"/>
  <c r="M364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E7F739-263B-47CA-A798-8FFA559281F4}" keepAlive="1" name="ThisWorkbookDataModel" description="Modelo de Dad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E497A00-1204-4E21-B589-7DE3F3F84C48}" name="WorksheetConnection_Radar_de_Vendas_Dado_a_Decisao.xlsx!Vendas" type="102" refreshedVersion="7" minRefreshableVersion="5">
    <extLst>
      <ext xmlns:x15="http://schemas.microsoft.com/office/spreadsheetml/2010/11/main" uri="{DE250136-89BD-433C-8126-D09CA5730AF9}">
        <x15:connection id="Vendas" autoDelete="1">
          <x15:rangePr sourceName="_xlcn.WorksheetConnection_Radar_de_Vendas_Dado_a_Decisao.xlsxVendas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Vendas].[Cidade].&amp;[Santos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<sst xmlns="http://schemas.openxmlformats.org/spreadsheetml/2006/main" count="2708" uniqueCount="530">
  <si>
    <t>RADAR DE VENDAS: DO DADO À DECISÃO</t>
  </si>
  <si>
    <t>Excel • nível iniciante/intermediário • dados fictícios de 2025</t>
  </si>
  <si>
    <t>DESAFIO</t>
  </si>
  <si>
    <t>Contexto</t>
  </si>
  <si>
    <t>Você recebeu o registro de 360 vendas de uma pequena rede de cafés e presentes. A gerência quer entender o que vende, onde vende e como as vendas mudaram ao longo do ano.</t>
  </si>
  <si>
    <t>Objetivo</t>
  </si>
  <si>
    <t>Transformar a base em uma análise clara, calcular indicadores, responder às perguntas abaixo e recomendar uma ação comercial baseada nos dados.</t>
  </si>
  <si>
    <t>Tempo sugerido</t>
  </si>
  <si>
    <t>De 1 a 2 horas. Trabalhe nas abas Base de vendas e Minha análise; use esta aba como roteiro.</t>
  </si>
  <si>
    <t>ROTEIRO DE TRABALHO</t>
  </si>
  <si>
    <t>1. Explore</t>
  </si>
  <si>
    <t>Confira os cabeçalhos, filtre e ordene os registros. Cada linha representa uma venda; os IDs são únicos. Verifique tipos de dados, células vazias e possíveis inconsistências.</t>
  </si>
  <si>
    <t>2. Prepare</t>
  </si>
  <si>
    <t>A base já está formatada como Tabela do Excel. Não altere os dados originais. Complete as quatro colunas calculadas em amarelo na aba Base de vendas.</t>
  </si>
  <si>
    <t>3. Receita bruta</t>
  </si>
  <si>
    <t>Na coluna Faturamento_bruto, calcule Quantidade × Preco_unitario. Exemplo de referência estruturada: =[@Quantidade]*[@Preco_unitario]</t>
  </si>
  <si>
    <t>4. Desconto</t>
  </si>
  <si>
    <t>Na coluna Desconto, calcule Faturamento_bruto × Desconto_pct. Exemplo: =[@Faturamento_bruto]*[@Desconto_pct]</t>
  </si>
  <si>
    <t>5. Receita líquida</t>
  </si>
  <si>
    <t>Na coluna Faturamento_liquido, calcule Faturamento_bruto − Desconto. Exemplo: =[@Faturamento_bruto]-[@Desconto]</t>
  </si>
  <si>
    <t>6. Mês</t>
  </si>
  <si>
    <t>Na coluna Mes, transforme a Data no primeiro dia daquele mês (ex.: =DATA(ANO([@Data]);MÊS([@Data]);1)) e formate como mmm/aaaa. Assim, a ordem cronológica fica preservada.</t>
  </si>
  <si>
    <t>7. Analise</t>
  </si>
  <si>
    <t>Crie Tabelas Dinâmicas para resumir as vendas por mês, produto/categoria e canal. Confira totais e use filtros ou segmentações para explorar a cidade.</t>
  </si>
  <si>
    <t>8. Visualize</t>
  </si>
  <si>
    <t>Monte um painel com indicadores, um gráfico de linha para a evolução mensal e um gráfico de barras para comparar produtos ou canais.</t>
  </si>
  <si>
    <t>9. Conclua</t>
  </si>
  <si>
    <t>Registre suas respostas na aba Minha análise. Escreva uma recomendação específica e cite os números que sustentam sua proposta.</t>
  </si>
  <si>
    <t>PERGUNTAS PARA INVESTIGAR</t>
  </si>
  <si>
    <t>1</t>
  </si>
  <si>
    <t>Como a receita líquida mudou mês a mês? Quais foram os meses mais fortes e mais fracos?</t>
  </si>
  <si>
    <t>2</t>
  </si>
  <si>
    <t>Quais produtos lideram em faturamento líquido e em unidades vendidas? O resultado é igual nas duas medidas?</t>
  </si>
  <si>
    <t>3</t>
  </si>
  <si>
    <t>Qual cidade gerou mais receita líquida? Há uma categoria ou produto que se destaque nela?</t>
  </si>
  <si>
    <t>4</t>
  </si>
  <si>
    <t>Como os canais de venda se comparam em faturamento e ticket médio?</t>
  </si>
  <si>
    <t>5</t>
  </si>
  <si>
    <t>O que acontece com a receita líquida quando o desconto aumenta? Compare os níveis de desconto e interprete com cuidado.</t>
  </si>
  <si>
    <t>6</t>
  </si>
  <si>
    <t>Que ação comercial você recomenda para o próximo período? Apoie a resposta com pelo menos dois números da análise.</t>
  </si>
  <si>
    <t>RECURSOS DO EXCEL PARA PRATICAR</t>
  </si>
  <si>
    <t>Tabela e filtros</t>
  </si>
  <si>
    <t>Explore a base sem perder a linha de cabeçalho; use filtros para selecionar cidade, produto, canal ou período.</t>
  </si>
  <si>
    <t>Fórmulas</t>
  </si>
  <si>
    <t>Use referências estruturadas para preencher as colunas calculadas. Para os indicadores, experimente SOMA, CONT.VALORES e divisão.</t>
  </si>
  <si>
    <t>Tabela Dinâmica</t>
  </si>
  <si>
    <t>Resuma a receita líquida, as unidades e a quantidade de vendas por diferentes dimensões.</t>
  </si>
  <si>
    <t>Gráficos</t>
  </si>
  <si>
    <t>Use linha para tendência mensal e barras para comparar categorias, produtos ou canais.</t>
  </si>
  <si>
    <t>Segmentação de dados</t>
  </si>
  <si>
    <t>Adicione filtros visuais por cidade ou canal ao painel, se sua versão do Excel oferecer esse recurso.</t>
  </si>
  <si>
    <t>Formatação condicional</t>
  </si>
  <si>
    <t>Destaque valores altos e baixos em uma tabela de comparação sem esconder os números.</t>
  </si>
  <si>
    <t>ENTREGA ESPERADA</t>
  </si>
  <si>
    <t>Um painel simples, três Tabelas Dinâmicas ou resumos equivalentes, respostas às seis perguntas e uma recomendação apoiada por dados.</t>
  </si>
  <si>
    <t>Checklist</t>
  </si>
  <si>
    <t>□ Colunas calculadas preenchidas  □ Indicadores calculados  □ Resumos por mês, produto e canal  □ Gráficos legíveis  □ Recomendação baseada em evidências</t>
  </si>
  <si>
    <t>Observação</t>
  </si>
  <si>
    <t>A base é fictícia e foi criada apenas para prática; não representa uma empresa real nem contém dados pessoais.</t>
  </si>
  <si>
    <t>MINHA ANÁLISE</t>
  </si>
  <si>
    <t>Preencha as células amarelas depois de preparar a base e montar seus resumos no Excel.</t>
  </si>
  <si>
    <t>INDICADORES</t>
  </si>
  <si>
    <t>Como calcular</t>
  </si>
  <si>
    <t>Meu resultado</t>
  </si>
  <si>
    <t>O que esse número mostra?</t>
  </si>
  <si>
    <t>Soma de Quantidade × Preco_unitario</t>
  </si>
  <si>
    <t>Soma da coluna Desconto</t>
  </si>
  <si>
    <t>Faturamento bruto − descontos</t>
  </si>
  <si>
    <t>Soma de Quantidade</t>
  </si>
  <si>
    <t>Contagem de ID_Venda</t>
  </si>
  <si>
    <t>Faturamento líquido ÷ número de vendas</t>
  </si>
  <si>
    <t>PERGUNTA</t>
  </si>
  <si>
    <t>Minha resposta / evidência</t>
  </si>
  <si>
    <t>Tendência mensal: meses mais fortes/fracos e comportamento ao longo do ano</t>
  </si>
  <si>
    <t>Produtos: líderes por faturamento líquido e por unidades</t>
  </si>
  <si>
    <t>Cidade: maior receita e destaque de produto/categoria</t>
  </si>
  <si>
    <t>Canal: comparação de receita e ticket médio</t>
  </si>
  <si>
    <t>Descontos: comparação entre níveis e efeito observado</t>
  </si>
  <si>
    <t>Recomendação: ação proposta e números que a sustentam</t>
  </si>
  <si>
    <t>Base de prática • 360 vendas fictícias • janeiro a dezembro de 2025</t>
  </si>
  <si>
    <t>Uma linha = uma venda. As colunas calculadas à direita estão vazias de propósito; preencha-as seguindo a aba Projeto.</t>
  </si>
  <si>
    <t>ID_Venda</t>
  </si>
  <si>
    <t>Data</t>
  </si>
  <si>
    <t>Produto</t>
  </si>
  <si>
    <t>Categoria</t>
  </si>
  <si>
    <t>Cidade</t>
  </si>
  <si>
    <t>Canal</t>
  </si>
  <si>
    <t>Forma_pagamento</t>
  </si>
  <si>
    <t>Quantidade</t>
  </si>
  <si>
    <t>Preco_unitario</t>
  </si>
  <si>
    <t>Desconto_pct</t>
  </si>
  <si>
    <t>Faturamento_bruto</t>
  </si>
  <si>
    <t>Desconto</t>
  </si>
  <si>
    <t>Faturamento_liquido</t>
  </si>
  <si>
    <t>Mes</t>
  </si>
  <si>
    <t>V-2025-0001</t>
  </si>
  <si>
    <t>Caneca artesanal</t>
  </si>
  <si>
    <t>Acessórios</t>
  </si>
  <si>
    <t>São Paulo</t>
  </si>
  <si>
    <t>Loja física</t>
  </si>
  <si>
    <t>Pix</t>
  </si>
  <si>
    <t>V-2025-0002</t>
  </si>
  <si>
    <t>Café especial 250g</t>
  </si>
  <si>
    <t>Café</t>
  </si>
  <si>
    <t>Curitiba</t>
  </si>
  <si>
    <t>Site</t>
  </si>
  <si>
    <t>Cartão de crédito</t>
  </si>
  <si>
    <t>V-2025-0003</t>
  </si>
  <si>
    <t>Campinas</t>
  </si>
  <si>
    <t>V-2025-0004</t>
  </si>
  <si>
    <t>Café tradicional 500g</t>
  </si>
  <si>
    <t>V-2025-0005</t>
  </si>
  <si>
    <t>Chocolate 70%</t>
  </si>
  <si>
    <t>Presentes</t>
  </si>
  <si>
    <t>Rio de Janeiro</t>
  </si>
  <si>
    <t>Cartão de débito</t>
  </si>
  <si>
    <t>V-2025-0006</t>
  </si>
  <si>
    <t>Garrafa térmica</t>
  </si>
  <si>
    <t>V-2025-0007</t>
  </si>
  <si>
    <t>V-2025-0008</t>
  </si>
  <si>
    <t>Filtro de papel (100 un.)</t>
  </si>
  <si>
    <t>V-2025-0009</t>
  </si>
  <si>
    <t>Kit presente</t>
  </si>
  <si>
    <t>V-2025-0010</t>
  </si>
  <si>
    <t>V-2025-0011</t>
  </si>
  <si>
    <t>Santos</t>
  </si>
  <si>
    <t>V-2025-0012</t>
  </si>
  <si>
    <t>Aplicativo</t>
  </si>
  <si>
    <t>V-2025-0013</t>
  </si>
  <si>
    <t>V-2025-0014</t>
  </si>
  <si>
    <t>V-2025-0015</t>
  </si>
  <si>
    <t>V-2025-0016</t>
  </si>
  <si>
    <t>V-2025-0017</t>
  </si>
  <si>
    <t>Café em grãos 1kg</t>
  </si>
  <si>
    <t>V-2025-0018</t>
  </si>
  <si>
    <t>V-2025-0019</t>
  </si>
  <si>
    <t>V-2025-0020</t>
  </si>
  <si>
    <t>V-2025-0021</t>
  </si>
  <si>
    <t>V-2025-0022</t>
  </si>
  <si>
    <t>V-2025-0023</t>
  </si>
  <si>
    <t>V-2025-0024</t>
  </si>
  <si>
    <t>V-2025-0025</t>
  </si>
  <si>
    <t>Dinheiro</t>
  </si>
  <si>
    <t>V-2025-0026</t>
  </si>
  <si>
    <t>V-2025-0027</t>
  </si>
  <si>
    <t>V-2025-0028</t>
  </si>
  <si>
    <t>V-2025-0029</t>
  </si>
  <si>
    <t>V-2025-0030</t>
  </si>
  <si>
    <t>V-2025-0031</t>
  </si>
  <si>
    <t>V-2025-0032</t>
  </si>
  <si>
    <t>V-2025-0033</t>
  </si>
  <si>
    <t>V-2025-0034</t>
  </si>
  <si>
    <t>V-2025-0035</t>
  </si>
  <si>
    <t>V-2025-0036</t>
  </si>
  <si>
    <t>V-2025-0037</t>
  </si>
  <si>
    <t>V-2025-0038</t>
  </si>
  <si>
    <t>V-2025-0039</t>
  </si>
  <si>
    <t>V-2025-0040</t>
  </si>
  <si>
    <t>V-2025-0041</t>
  </si>
  <si>
    <t>V-2025-0042</t>
  </si>
  <si>
    <t>V-2025-0043</t>
  </si>
  <si>
    <t>V-2025-0044</t>
  </si>
  <si>
    <t>V-2025-0045</t>
  </si>
  <si>
    <t>V-2025-0046</t>
  </si>
  <si>
    <t>V-2025-0047</t>
  </si>
  <si>
    <t>V-2025-0048</t>
  </si>
  <si>
    <t>V-2025-0049</t>
  </si>
  <si>
    <t>V-2025-0050</t>
  </si>
  <si>
    <t>V-2025-0051</t>
  </si>
  <si>
    <t>V-2025-0052</t>
  </si>
  <si>
    <t>V-2025-0053</t>
  </si>
  <si>
    <t>V-2025-0054</t>
  </si>
  <si>
    <t>V-2025-0055</t>
  </si>
  <si>
    <t>V-2025-0056</t>
  </si>
  <si>
    <t>V-2025-0057</t>
  </si>
  <si>
    <t>V-2025-0058</t>
  </si>
  <si>
    <t>V-2025-0059</t>
  </si>
  <si>
    <t>V-2025-0060</t>
  </si>
  <si>
    <t>V-2025-0061</t>
  </si>
  <si>
    <t>V-2025-0062</t>
  </si>
  <si>
    <t>V-2025-0063</t>
  </si>
  <si>
    <t>V-2025-0064</t>
  </si>
  <si>
    <t>V-2025-0065</t>
  </si>
  <si>
    <t>V-2025-0066</t>
  </si>
  <si>
    <t>V-2025-0067</t>
  </si>
  <si>
    <t>V-2025-0068</t>
  </si>
  <si>
    <t>V-2025-0069</t>
  </si>
  <si>
    <t>V-2025-0070</t>
  </si>
  <si>
    <t>V-2025-0071</t>
  </si>
  <si>
    <t>V-2025-0072</t>
  </si>
  <si>
    <t>V-2025-0073</t>
  </si>
  <si>
    <t>V-2025-0074</t>
  </si>
  <si>
    <t>V-2025-0075</t>
  </si>
  <si>
    <t>V-2025-0076</t>
  </si>
  <si>
    <t>V-2025-0077</t>
  </si>
  <si>
    <t>V-2025-0078</t>
  </si>
  <si>
    <t>V-2025-0079</t>
  </si>
  <si>
    <t>V-2025-0080</t>
  </si>
  <si>
    <t>V-2025-0081</t>
  </si>
  <si>
    <t>V-2025-0082</t>
  </si>
  <si>
    <t>V-2025-0083</t>
  </si>
  <si>
    <t>V-2025-0084</t>
  </si>
  <si>
    <t>V-2025-0085</t>
  </si>
  <si>
    <t>V-2025-0086</t>
  </si>
  <si>
    <t>V-2025-0087</t>
  </si>
  <si>
    <t>V-2025-0088</t>
  </si>
  <si>
    <t>V-2025-0089</t>
  </si>
  <si>
    <t>V-2025-0090</t>
  </si>
  <si>
    <t>V-2025-0091</t>
  </si>
  <si>
    <t>V-2025-0092</t>
  </si>
  <si>
    <t>V-2025-0093</t>
  </si>
  <si>
    <t>V-2025-0094</t>
  </si>
  <si>
    <t>V-2025-0095</t>
  </si>
  <si>
    <t>V-2025-0096</t>
  </si>
  <si>
    <t>V-2025-0097</t>
  </si>
  <si>
    <t>V-2025-0098</t>
  </si>
  <si>
    <t>V-2025-0099</t>
  </si>
  <si>
    <t>V-2025-0100</t>
  </si>
  <si>
    <t>V-2025-0101</t>
  </si>
  <si>
    <t>V-2025-0102</t>
  </si>
  <si>
    <t>V-2025-0103</t>
  </si>
  <si>
    <t>V-2025-0104</t>
  </si>
  <si>
    <t>V-2025-0105</t>
  </si>
  <si>
    <t>V-2025-0106</t>
  </si>
  <si>
    <t>V-2025-0107</t>
  </si>
  <si>
    <t>V-2025-0108</t>
  </si>
  <si>
    <t>V-2025-0109</t>
  </si>
  <si>
    <t>V-2025-0110</t>
  </si>
  <si>
    <t>V-2025-0111</t>
  </si>
  <si>
    <t>V-2025-0112</t>
  </si>
  <si>
    <t>V-2025-0113</t>
  </si>
  <si>
    <t>V-2025-0114</t>
  </si>
  <si>
    <t>V-2025-0115</t>
  </si>
  <si>
    <t>V-2025-0116</t>
  </si>
  <si>
    <t>V-2025-0117</t>
  </si>
  <si>
    <t>V-2025-0118</t>
  </si>
  <si>
    <t>V-2025-0119</t>
  </si>
  <si>
    <t>V-2025-0120</t>
  </si>
  <si>
    <t>V-2025-0121</t>
  </si>
  <si>
    <t>V-2025-0122</t>
  </si>
  <si>
    <t>V-2025-0123</t>
  </si>
  <si>
    <t>V-2025-0124</t>
  </si>
  <si>
    <t>V-2025-0125</t>
  </si>
  <si>
    <t>V-2025-0126</t>
  </si>
  <si>
    <t>V-2025-0127</t>
  </si>
  <si>
    <t>V-2025-0128</t>
  </si>
  <si>
    <t>V-2025-0129</t>
  </si>
  <si>
    <t>V-2025-0130</t>
  </si>
  <si>
    <t>V-2025-0131</t>
  </si>
  <si>
    <t>V-2025-0132</t>
  </si>
  <si>
    <t>V-2025-0133</t>
  </si>
  <si>
    <t>V-2025-0134</t>
  </si>
  <si>
    <t>V-2025-0135</t>
  </si>
  <si>
    <t>V-2025-0136</t>
  </si>
  <si>
    <t>V-2025-0137</t>
  </si>
  <si>
    <t>V-2025-0138</t>
  </si>
  <si>
    <t>V-2025-0139</t>
  </si>
  <si>
    <t>V-2025-0140</t>
  </si>
  <si>
    <t>V-2025-0141</t>
  </si>
  <si>
    <t>V-2025-0142</t>
  </si>
  <si>
    <t>V-2025-0143</t>
  </si>
  <si>
    <t>V-2025-0144</t>
  </si>
  <si>
    <t>V-2025-0145</t>
  </si>
  <si>
    <t>V-2025-0146</t>
  </si>
  <si>
    <t>V-2025-0147</t>
  </si>
  <si>
    <t>V-2025-0148</t>
  </si>
  <si>
    <t>V-2025-0149</t>
  </si>
  <si>
    <t>V-2025-0150</t>
  </si>
  <si>
    <t>V-2025-0151</t>
  </si>
  <si>
    <t>V-2025-0152</t>
  </si>
  <si>
    <t>V-2025-0153</t>
  </si>
  <si>
    <t>V-2025-0154</t>
  </si>
  <si>
    <t>V-2025-0155</t>
  </si>
  <si>
    <t>V-2025-0156</t>
  </si>
  <si>
    <t>V-2025-0157</t>
  </si>
  <si>
    <t>V-2025-0158</t>
  </si>
  <si>
    <t>V-2025-0159</t>
  </si>
  <si>
    <t>V-2025-0160</t>
  </si>
  <si>
    <t>V-2025-0161</t>
  </si>
  <si>
    <t>V-2025-0162</t>
  </si>
  <si>
    <t>V-2025-0163</t>
  </si>
  <si>
    <t>V-2025-0164</t>
  </si>
  <si>
    <t>V-2025-0165</t>
  </si>
  <si>
    <t>V-2025-0166</t>
  </si>
  <si>
    <t>V-2025-0167</t>
  </si>
  <si>
    <t>V-2025-0168</t>
  </si>
  <si>
    <t>V-2025-0169</t>
  </si>
  <si>
    <t>V-2025-0170</t>
  </si>
  <si>
    <t>V-2025-0171</t>
  </si>
  <si>
    <t>V-2025-0172</t>
  </si>
  <si>
    <t>V-2025-0173</t>
  </si>
  <si>
    <t>V-2025-0174</t>
  </si>
  <si>
    <t>V-2025-0175</t>
  </si>
  <si>
    <t>V-2025-0176</t>
  </si>
  <si>
    <t>V-2025-0177</t>
  </si>
  <si>
    <t>V-2025-0178</t>
  </si>
  <si>
    <t>V-2025-0179</t>
  </si>
  <si>
    <t>V-2025-0180</t>
  </si>
  <si>
    <t>V-2025-0181</t>
  </si>
  <si>
    <t>V-2025-0182</t>
  </si>
  <si>
    <t>V-2025-0183</t>
  </si>
  <si>
    <t>V-2025-0184</t>
  </si>
  <si>
    <t>V-2025-0185</t>
  </si>
  <si>
    <t>V-2025-0186</t>
  </si>
  <si>
    <t>V-2025-0187</t>
  </si>
  <si>
    <t>V-2025-0188</t>
  </si>
  <si>
    <t>V-2025-0189</t>
  </si>
  <si>
    <t>V-2025-0190</t>
  </si>
  <si>
    <t>V-2025-0191</t>
  </si>
  <si>
    <t>V-2025-0192</t>
  </si>
  <si>
    <t>V-2025-0193</t>
  </si>
  <si>
    <t>V-2025-0194</t>
  </si>
  <si>
    <t>V-2025-0195</t>
  </si>
  <si>
    <t>V-2025-0196</t>
  </si>
  <si>
    <t>V-2025-0197</t>
  </si>
  <si>
    <t>V-2025-0198</t>
  </si>
  <si>
    <t>V-2025-0199</t>
  </si>
  <si>
    <t>V-2025-0200</t>
  </si>
  <si>
    <t>V-2025-0201</t>
  </si>
  <si>
    <t>V-2025-0202</t>
  </si>
  <si>
    <t>V-2025-0203</t>
  </si>
  <si>
    <t>V-2025-0204</t>
  </si>
  <si>
    <t>V-2025-0205</t>
  </si>
  <si>
    <t>V-2025-0206</t>
  </si>
  <si>
    <t>V-2025-0207</t>
  </si>
  <si>
    <t>V-2025-0208</t>
  </si>
  <si>
    <t>V-2025-0209</t>
  </si>
  <si>
    <t>V-2025-0210</t>
  </si>
  <si>
    <t>V-2025-0211</t>
  </si>
  <si>
    <t>V-2025-0212</t>
  </si>
  <si>
    <t>V-2025-0213</t>
  </si>
  <si>
    <t>V-2025-0214</t>
  </si>
  <si>
    <t>V-2025-0215</t>
  </si>
  <si>
    <t>V-2025-0216</t>
  </si>
  <si>
    <t>V-2025-0217</t>
  </si>
  <si>
    <t>V-2025-0218</t>
  </si>
  <si>
    <t>V-2025-0219</t>
  </si>
  <si>
    <t>V-2025-0220</t>
  </si>
  <si>
    <t>V-2025-0221</t>
  </si>
  <si>
    <t>V-2025-0222</t>
  </si>
  <si>
    <t>V-2025-0223</t>
  </si>
  <si>
    <t>V-2025-0224</t>
  </si>
  <si>
    <t>V-2025-0225</t>
  </si>
  <si>
    <t>V-2025-0226</t>
  </si>
  <si>
    <t>V-2025-0227</t>
  </si>
  <si>
    <t>V-2025-0228</t>
  </si>
  <si>
    <t>V-2025-0229</t>
  </si>
  <si>
    <t>V-2025-0230</t>
  </si>
  <si>
    <t>V-2025-0231</t>
  </si>
  <si>
    <t>V-2025-0232</t>
  </si>
  <si>
    <t>V-2025-0233</t>
  </si>
  <si>
    <t>V-2025-0234</t>
  </si>
  <si>
    <t>V-2025-0235</t>
  </si>
  <si>
    <t>V-2025-0236</t>
  </si>
  <si>
    <t>V-2025-0237</t>
  </si>
  <si>
    <t>V-2025-0238</t>
  </si>
  <si>
    <t>V-2025-0239</t>
  </si>
  <si>
    <t>V-2025-0240</t>
  </si>
  <si>
    <t>V-2025-0241</t>
  </si>
  <si>
    <t>V-2025-0242</t>
  </si>
  <si>
    <t>V-2025-0243</t>
  </si>
  <si>
    <t>V-2025-0244</t>
  </si>
  <si>
    <t>V-2025-0245</t>
  </si>
  <si>
    <t>V-2025-0246</t>
  </si>
  <si>
    <t>V-2025-0247</t>
  </si>
  <si>
    <t>V-2025-0248</t>
  </si>
  <si>
    <t>V-2025-0249</t>
  </si>
  <si>
    <t>V-2025-0250</t>
  </si>
  <si>
    <t>V-2025-0251</t>
  </si>
  <si>
    <t>V-2025-0252</t>
  </si>
  <si>
    <t>V-2025-0253</t>
  </si>
  <si>
    <t>V-2025-0254</t>
  </si>
  <si>
    <t>V-2025-0255</t>
  </si>
  <si>
    <t>V-2025-0256</t>
  </si>
  <si>
    <t>V-2025-0257</t>
  </si>
  <si>
    <t>V-2025-0258</t>
  </si>
  <si>
    <t>V-2025-0259</t>
  </si>
  <si>
    <t>V-2025-0260</t>
  </si>
  <si>
    <t>V-2025-0261</t>
  </si>
  <si>
    <t>V-2025-0262</t>
  </si>
  <si>
    <t>V-2025-0263</t>
  </si>
  <si>
    <t>V-2025-0264</t>
  </si>
  <si>
    <t>V-2025-0265</t>
  </si>
  <si>
    <t>V-2025-0266</t>
  </si>
  <si>
    <t>V-2025-0267</t>
  </si>
  <si>
    <t>V-2025-0268</t>
  </si>
  <si>
    <t>V-2025-0269</t>
  </si>
  <si>
    <t>V-2025-0270</t>
  </si>
  <si>
    <t>V-2025-0271</t>
  </si>
  <si>
    <t>V-2025-0272</t>
  </si>
  <si>
    <t>V-2025-0273</t>
  </si>
  <si>
    <t>V-2025-0274</t>
  </si>
  <si>
    <t>V-2025-0275</t>
  </si>
  <si>
    <t>V-2025-0276</t>
  </si>
  <si>
    <t>V-2025-0277</t>
  </si>
  <si>
    <t>V-2025-0278</t>
  </si>
  <si>
    <t>V-2025-0279</t>
  </si>
  <si>
    <t>V-2025-0280</t>
  </si>
  <si>
    <t>V-2025-0281</t>
  </si>
  <si>
    <t>V-2025-0282</t>
  </si>
  <si>
    <t>V-2025-0283</t>
  </si>
  <si>
    <t>V-2025-0284</t>
  </si>
  <si>
    <t>V-2025-0285</t>
  </si>
  <si>
    <t>V-2025-0286</t>
  </si>
  <si>
    <t>V-2025-0287</t>
  </si>
  <si>
    <t>V-2025-0288</t>
  </si>
  <si>
    <t>V-2025-0289</t>
  </si>
  <si>
    <t>V-2025-0290</t>
  </si>
  <si>
    <t>V-2025-0291</t>
  </si>
  <si>
    <t>V-2025-0292</t>
  </si>
  <si>
    <t>V-2025-0293</t>
  </si>
  <si>
    <t>V-2025-0294</t>
  </si>
  <si>
    <t>V-2025-0295</t>
  </si>
  <si>
    <t>V-2025-0296</t>
  </si>
  <si>
    <t>V-2025-0297</t>
  </si>
  <si>
    <t>V-2025-0298</t>
  </si>
  <si>
    <t>V-2025-0299</t>
  </si>
  <si>
    <t>V-2025-0300</t>
  </si>
  <si>
    <t>V-2025-0301</t>
  </si>
  <si>
    <t>V-2025-0302</t>
  </si>
  <si>
    <t>V-2025-0303</t>
  </si>
  <si>
    <t>V-2025-0304</t>
  </si>
  <si>
    <t>V-2025-0305</t>
  </si>
  <si>
    <t>V-2025-0306</t>
  </si>
  <si>
    <t>V-2025-0307</t>
  </si>
  <si>
    <t>V-2025-0308</t>
  </si>
  <si>
    <t>V-2025-0309</t>
  </si>
  <si>
    <t>V-2025-0310</t>
  </si>
  <si>
    <t>V-2025-0311</t>
  </si>
  <si>
    <t>V-2025-0312</t>
  </si>
  <si>
    <t>V-2025-0313</t>
  </si>
  <si>
    <t>V-2025-0314</t>
  </si>
  <si>
    <t>V-2025-0315</t>
  </si>
  <si>
    <t>V-2025-0316</t>
  </si>
  <si>
    <t>V-2025-0317</t>
  </si>
  <si>
    <t>V-2025-0318</t>
  </si>
  <si>
    <t>V-2025-0319</t>
  </si>
  <si>
    <t>V-2025-0320</t>
  </si>
  <si>
    <t>V-2025-0321</t>
  </si>
  <si>
    <t>V-2025-0322</t>
  </si>
  <si>
    <t>V-2025-0323</t>
  </si>
  <si>
    <t>V-2025-0324</t>
  </si>
  <si>
    <t>V-2025-0325</t>
  </si>
  <si>
    <t>V-2025-0326</t>
  </si>
  <si>
    <t>V-2025-0327</t>
  </si>
  <si>
    <t>V-2025-0328</t>
  </si>
  <si>
    <t>V-2025-0329</t>
  </si>
  <si>
    <t>V-2025-0330</t>
  </si>
  <si>
    <t>V-2025-0331</t>
  </si>
  <si>
    <t>V-2025-0332</t>
  </si>
  <si>
    <t>V-2025-0333</t>
  </si>
  <si>
    <t>V-2025-0334</t>
  </si>
  <si>
    <t>V-2025-0335</t>
  </si>
  <si>
    <t>V-2025-0336</t>
  </si>
  <si>
    <t>V-2025-0337</t>
  </si>
  <si>
    <t>V-2025-0338</t>
  </si>
  <si>
    <t>V-2025-0339</t>
  </si>
  <si>
    <t>V-2025-0340</t>
  </si>
  <si>
    <t>V-2025-0341</t>
  </si>
  <si>
    <t>V-2025-0342</t>
  </si>
  <si>
    <t>V-2025-0343</t>
  </si>
  <si>
    <t>V-2025-0344</t>
  </si>
  <si>
    <t>V-2025-0345</t>
  </si>
  <si>
    <t>V-2025-0346</t>
  </si>
  <si>
    <t>V-2025-0347</t>
  </si>
  <si>
    <t>V-2025-0348</t>
  </si>
  <si>
    <t>V-2025-0349</t>
  </si>
  <si>
    <t>V-2025-0350</t>
  </si>
  <si>
    <t>V-2025-0351</t>
  </si>
  <si>
    <t>V-2025-0352</t>
  </si>
  <si>
    <t>V-2025-0353</t>
  </si>
  <si>
    <t>V-2025-0354</t>
  </si>
  <si>
    <t>V-2025-0355</t>
  </si>
  <si>
    <t>V-2025-0356</t>
  </si>
  <si>
    <t>V-2025-0357</t>
  </si>
  <si>
    <t>V-2025-0358</t>
  </si>
  <si>
    <t>V-2025-0359</t>
  </si>
  <si>
    <t>V-2025-0360</t>
  </si>
  <si>
    <t xml:space="preserve">Pix   </t>
  </si>
  <si>
    <t>Rótulos de Linha</t>
  </si>
  <si>
    <t>01/1/2025</t>
  </si>
  <si>
    <t>01/10/2025</t>
  </si>
  <si>
    <t>01/11/2025</t>
  </si>
  <si>
    <t>01/12/2025</t>
  </si>
  <si>
    <t>01/2/2025</t>
  </si>
  <si>
    <t>01/3/2025</t>
  </si>
  <si>
    <t>01/4/2025</t>
  </si>
  <si>
    <t>01/5/2025</t>
  </si>
  <si>
    <t>01/6/2025</t>
  </si>
  <si>
    <t>01/7/2025</t>
  </si>
  <si>
    <t>01/8/2025</t>
  </si>
  <si>
    <t>01/9/2025</t>
  </si>
  <si>
    <t>Total Geral</t>
  </si>
  <si>
    <t>Soma de Faturamento_liquido</t>
  </si>
  <si>
    <t>FATURAMENTO POR MÊS</t>
  </si>
  <si>
    <t>FATURAMENTO POR PRODUTO</t>
  </si>
  <si>
    <t>Rótulos de Coluna</t>
  </si>
  <si>
    <t>PARA</t>
  </si>
  <si>
    <t>DE</t>
  </si>
  <si>
    <t>Mes2</t>
  </si>
  <si>
    <t>R$ 27.605,70</t>
  </si>
  <si>
    <t>Faturamento bruto: 27.605,70</t>
  </si>
  <si>
    <t>Descontos concedidos: 1.780,39</t>
  </si>
  <si>
    <t>Faturamento líquido: 25.825,31</t>
  </si>
  <si>
    <t>Unidades vendidas: 693</t>
  </si>
  <si>
    <t>Número de vendas: 360</t>
  </si>
  <si>
    <t>produto que mais vendeu por unidade café especial, produto que mais vendeu por faturamento liquido café especia</t>
  </si>
  <si>
    <t>a cidade que mais vendeu foi São paulo, e a categoria que mais se destacou foi café com café especial saIindo na frente</t>
  </si>
  <si>
    <t>ticket medio</t>
  </si>
  <si>
    <t>a receita do loja fisica: 12.907,84 e ticket medio 1.075,65 a receita do site: 8.460,55 e ticket medio 705,05, a receita do aplicativo: 4.456,93e ticket medio 371,41</t>
  </si>
  <si>
    <t>R$ 25.825,31</t>
  </si>
  <si>
    <t>faturamento liquido total 25.825,31 desconto total 1.780,39</t>
  </si>
  <si>
    <t>Unidades vendidas (693):</t>
  </si>
  <si>
    <t>mostra o volume total de produtos comercializados, indicando a força da demanda.</t>
  </si>
  <si>
    <t>Número de vendas (360):</t>
  </si>
  <si>
    <t xml:space="preserve"> revela quantas transações ocorreram, útil para entender frequência de compra.</t>
  </si>
  <si>
    <t xml:space="preserve"> demonstra quanto, em média, cada cliente gastou por compra — um reflexo direto da estratégia de preços e mix de produtos.</t>
  </si>
  <si>
    <t>Plano de Ação
1. Expandir oferta de café especial, 2. Fortalecer presença digital (site e aplicativo), 3. Aproveitar sazonalidade de fim de ano, 4. Gestão de descontos controlada</t>
  </si>
  <si>
    <t>ticket medio mensal foi de 2.152,11 - o mês mas fraco foi maio com 1.702 ,90 e o mês  mais forte foi dezmbro 2.896,19</t>
  </si>
  <si>
    <t>Ticket médio: 71,74</t>
  </si>
  <si>
    <t>Ticket médio (71,74):</t>
  </si>
  <si>
    <t>FATURAMENTO POR CANAL</t>
  </si>
  <si>
    <t xml:space="preserve">  </t>
  </si>
  <si>
    <t>RELATORIO RADAR DE VENDAS</t>
  </si>
  <si>
    <t>QUANTIDADDE DE PRODUTOS VENDIDOS</t>
  </si>
  <si>
    <t xml:space="preserve">Produto </t>
  </si>
  <si>
    <t>Produto Que menos Vendeu</t>
  </si>
  <si>
    <t>Produto que mais vendeu</t>
  </si>
  <si>
    <t>GRAFICOS RADAR DE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</si>
</sst>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R$&quot;\ #,##0.00"/>
    <numFmt numFmtId="165" formatCode="[$-F800]dddd\,\ mmmm\ dd\,\ yyyy"/>
    <numFmt numFmtId="166" formatCode="dd/mm/yy;@"/>
  </numFmts>
  <fonts count="16">
    <font>
      <sz val="11"/>
      <name val="Carlito"/>
    </font>
    <font>
      <sz val="10"/>
      <color rgb="FF243244"/>
      <name val="Arial"/>
    </font>
    <font>
      <b/>
      <sz val="16"/>
      <color rgb="FF17365D"/>
      <name val="Arial"/>
    </font>
    <font>
      <i/>
      <sz val="10"/>
      <color rgb="FF5B6573"/>
      <name val="Arial"/>
    </font>
    <font>
      <b/>
      <sz val="10"/>
      <color rgb="FFFFFFFF"/>
      <name val="Arial"/>
    </font>
    <font>
      <b/>
      <sz val="10"/>
      <color rgb="FF17365D"/>
      <name val="Arial"/>
    </font>
    <font>
      <b/>
      <sz val="14"/>
      <color rgb="FF17365D"/>
      <name val="Arial"/>
    </font>
    <font>
      <sz val="11"/>
      <name val="Carlito"/>
    </font>
    <font>
      <sz val="11"/>
      <color theme="0"/>
      <name val="Carlito"/>
    </font>
    <font>
      <b/>
      <sz val="11"/>
      <name val="Carlito"/>
    </font>
    <font>
      <sz val="10"/>
      <color rgb="FF243244"/>
      <name val="Arial"/>
      <family val="2"/>
    </font>
    <font>
      <b/>
      <sz val="10"/>
      <color rgb="FFFFFFFF"/>
      <name val="Arial"/>
      <family val="2"/>
    </font>
    <font>
      <b/>
      <sz val="10"/>
      <color rgb="FF243244"/>
      <name val="Arial"/>
      <family val="2"/>
    </font>
    <font>
      <b/>
      <sz val="15"/>
      <color theme="3"/>
      <name val="Calibri"/>
      <family val="2"/>
      <scheme val="minor"/>
    </font>
    <font>
      <b/>
      <sz val="11"/>
      <color theme="0"/>
      <name val="Carlito"/>
    </font>
    <font>
      <b/>
      <sz val="36"/>
      <color theme="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72F4E"/>
        <bgColor indexed="64"/>
      </patternFill>
    </fill>
    <fill>
      <patternFill patternType="solid">
        <fgColor rgb="FF1F547E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13" fillId="0" borderId="2" applyNumberFormat="0" applyFill="0" applyAlignment="0" applyProtection="0"/>
  </cellStyleXfs>
  <cellXfs count="69">
    <xf numFmtId="0" fontId="0" fillId="0" borderId="0" xfId="0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0" fontId="4" fillId="2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  <xf numFmtId="0" fontId="5" fillId="3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 wrapText="1"/>
    </xf>
    <xf numFmtId="0" fontId="4" fillId="2" borderId="0" xfId="0" applyNumberFormat="1" applyFont="1" applyFill="1" applyBorder="1" applyAlignment="1">
      <alignment vertical="center" wrapText="1"/>
    </xf>
    <xf numFmtId="0" fontId="4" fillId="4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vertical="top" wrapText="1"/>
    </xf>
    <xf numFmtId="0" fontId="1" fillId="3" borderId="0" xfId="0" applyNumberFormat="1" applyFont="1" applyFill="1" applyBorder="1" applyAlignment="1">
      <alignment vertical="top" wrapText="1"/>
    </xf>
    <xf numFmtId="49" fontId="1" fillId="0" borderId="0" xfId="0" applyNumberFormat="1" applyFont="1" applyFill="1" applyBorder="1" applyAlignment="1">
      <alignment vertical="center"/>
    </xf>
    <xf numFmtId="14" fontId="1" fillId="0" borderId="0" xfId="0" applyNumberFormat="1" applyFont="1" applyFill="1" applyBorder="1" applyAlignment="1">
      <alignment vertical="center"/>
    </xf>
    <xf numFmtId="3" fontId="1" fillId="0" borderId="0" xfId="0" applyNumberFormat="1" applyFont="1" applyFill="1" applyBorder="1" applyAlignment="1">
      <alignment vertical="center"/>
    </xf>
    <xf numFmtId="164" fontId="1" fillId="0" borderId="0" xfId="0" applyNumberFormat="1" applyFont="1" applyFill="1" applyBorder="1" applyAlignment="1">
      <alignment vertical="center"/>
    </xf>
    <xf numFmtId="9" fontId="1" fillId="0" borderId="0" xfId="0" applyNumberFormat="1" applyFont="1" applyFill="1" applyBorder="1" applyAlignment="1">
      <alignment vertical="center"/>
    </xf>
    <xf numFmtId="164" fontId="1" fillId="3" borderId="0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/>
    </xf>
    <xf numFmtId="164" fontId="4" fillId="4" borderId="0" xfId="0" applyNumberFormat="1" applyFont="1" applyFill="1" applyBorder="1" applyAlignment="1">
      <alignment horizontal="center" vertical="center" wrapText="1"/>
    </xf>
    <xf numFmtId="9" fontId="1" fillId="0" borderId="0" xfId="1" applyFont="1" applyFill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14" fontId="1" fillId="3" borderId="0" xfId="0" applyNumberFormat="1" applyFont="1" applyFill="1" applyBorder="1" applyAlignment="1">
      <alignment vertical="center"/>
    </xf>
    <xf numFmtId="165" fontId="4" fillId="4" borderId="0" xfId="0" applyNumberFormat="1" applyFont="1" applyFill="1" applyBorder="1" applyAlignment="1">
      <alignment horizontal="center" vertical="center" wrapText="1"/>
    </xf>
    <xf numFmtId="165" fontId="1" fillId="3" borderId="0" xfId="0" applyNumberFormat="1" applyFont="1" applyFill="1" applyBorder="1" applyAlignment="1">
      <alignment vertical="center"/>
    </xf>
    <xf numFmtId="164" fontId="0" fillId="0" borderId="0" xfId="0" applyNumberFormat="1"/>
    <xf numFmtId="0" fontId="0" fillId="0" borderId="0" xfId="0" applyAlignment="1">
      <alignment horizontal="left" indent="1"/>
    </xf>
    <xf numFmtId="166" fontId="1" fillId="3" borderId="0" xfId="0" applyNumberFormat="1" applyFont="1" applyFill="1" applyBorder="1" applyAlignment="1">
      <alignment vertical="center"/>
    </xf>
    <xf numFmtId="165" fontId="11" fillId="4" borderId="1" xfId="0" applyNumberFormat="1" applyFont="1" applyFill="1" applyBorder="1" applyAlignment="1">
      <alignment horizontal="center" vertical="center" wrapText="1"/>
    </xf>
    <xf numFmtId="165" fontId="10" fillId="3" borderId="1" xfId="0" applyNumberFormat="1" applyFont="1" applyFill="1" applyBorder="1" applyAlignment="1">
      <alignment vertical="center"/>
    </xf>
    <xf numFmtId="14" fontId="0" fillId="0" borderId="0" xfId="0" applyNumberFormat="1"/>
    <xf numFmtId="0" fontId="8" fillId="5" borderId="0" xfId="0" applyFont="1" applyFill="1"/>
    <xf numFmtId="0" fontId="8" fillId="5" borderId="0" xfId="0" applyFont="1" applyFill="1" applyAlignment="1">
      <alignment horizontal="center"/>
    </xf>
    <xf numFmtId="14" fontId="11" fillId="4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left"/>
    </xf>
    <xf numFmtId="165" fontId="0" fillId="0" borderId="0" xfId="0" applyNumberFormat="1"/>
    <xf numFmtId="14" fontId="10" fillId="3" borderId="1" xfId="0" applyNumberFormat="1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vertical="center"/>
    </xf>
    <xf numFmtId="164" fontId="8" fillId="5" borderId="0" xfId="0" applyNumberFormat="1" applyFont="1" applyFill="1"/>
    <xf numFmtId="1" fontId="8" fillId="5" borderId="0" xfId="0" applyNumberFormat="1" applyFont="1" applyFill="1"/>
    <xf numFmtId="1" fontId="0" fillId="0" borderId="0" xfId="0" applyNumberFormat="1"/>
    <xf numFmtId="0" fontId="10" fillId="3" borderId="0" xfId="0" applyNumberFormat="1" applyFont="1" applyFill="1" applyBorder="1" applyAlignment="1">
      <alignment vertical="top" wrapText="1"/>
    </xf>
    <xf numFmtId="0" fontId="10" fillId="0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NumberFormat="1" applyFont="1" applyFill="1" applyBorder="1" applyAlignment="1">
      <alignment vertical="center"/>
    </xf>
    <xf numFmtId="0" fontId="0" fillId="7" borderId="0" xfId="0" applyFill="1"/>
    <xf numFmtId="0" fontId="13" fillId="0" borderId="2" xfId="2"/>
    <xf numFmtId="0" fontId="15" fillId="0" borderId="2" xfId="2" applyFont="1"/>
    <xf numFmtId="0" fontId="14" fillId="7" borderId="0" xfId="0" applyFont="1" applyFill="1"/>
    <xf numFmtId="0" fontId="8" fillId="7" borderId="0" xfId="0" applyFont="1" applyFill="1"/>
    <xf numFmtId="0" fontId="8" fillId="8" borderId="0" xfId="0" applyFont="1" applyFill="1" applyAlignment="1">
      <alignment vertical="center"/>
    </xf>
    <xf numFmtId="0" fontId="8" fillId="8" borderId="0" xfId="0" applyFont="1" applyFill="1" applyAlignment="1">
      <alignment horizontal="left"/>
    </xf>
    <xf numFmtId="164" fontId="8" fillId="8" borderId="0" xfId="0" applyNumberFormat="1" applyFont="1" applyFill="1"/>
    <xf numFmtId="0" fontId="8" fillId="6" borderId="0" xfId="0" applyFont="1" applyFill="1" applyAlignment="1">
      <alignment vertical="center"/>
    </xf>
    <xf numFmtId="0" fontId="8" fillId="8" borderId="0" xfId="0" applyFont="1" applyFill="1"/>
    <xf numFmtId="164" fontId="0" fillId="0" borderId="3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0" fontId="14" fillId="8" borderId="0" xfId="0" applyFont="1" applyFill="1"/>
    <xf numFmtId="0" fontId="3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/>
    </xf>
    <xf numFmtId="0" fontId="0" fillId="8" borderId="0" xfId="0" applyFill="1"/>
    <xf numFmtId="0" fontId="0" fillId="0" borderId="6" xfId="0" applyBorder="1"/>
    <xf numFmtId="0" fontId="0" fillId="0" borderId="7" xfId="0" applyBorder="1"/>
    <xf numFmtId="0" fontId="9" fillId="8" borderId="0" xfId="0" applyFont="1" applyFill="1"/>
    <xf numFmtId="0" fontId="0" fillId="0" borderId="0" xfId="0" pivotButton="1" applyFont="1"/>
  </cellXfs>
  <cellStyles count="3">
    <cellStyle name="Normal" xfId="0" builtinId="0"/>
    <cellStyle name="Porcentagem" xfId="1" builtinId="5"/>
    <cellStyle name="Título 1" xfId="2" builtinId="16"/>
  </cellStyles>
  <dxfs count="542">
    <dxf>
      <font>
        <u/>
      </font>
    </dxf>
    <dxf>
      <font>
        <u val="none"/>
      </font>
    </dxf>
    <dxf>
      <font>
        <u val="none"/>
      </font>
    </dxf>
    <dxf>
      <font>
        <u/>
      </font>
    </dxf>
    <dxf>
      <numFmt numFmtId="164" formatCode="&quot;R$&quot;\ #,##0.00"/>
    </dxf>
    <dxf>
      <font>
        <color theme="0"/>
      </font>
    </dxf>
    <dxf>
      <font>
        <color theme="0"/>
      </font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072F4E"/>
        </patternFill>
      </fill>
    </dxf>
    <dxf>
      <fill>
        <patternFill>
          <bgColor rgb="FF072F4E"/>
        </patternFill>
      </fill>
    </dxf>
    <dxf>
      <font>
        <color theme="0"/>
      </font>
    </dxf>
    <dxf>
      <font>
        <color theme="0"/>
      </font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numFmt numFmtId="164" formatCode="&quot;R$&quot;\ #,##0.00"/>
    </dxf>
    <dxf>
      <numFmt numFmtId="1" formatCode="0"/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1F547E"/>
        </patternFill>
      </fill>
    </dxf>
    <dxf>
      <fill>
        <patternFill patternType="solid">
          <bgColor rgb="FF1F547E"/>
        </patternFill>
      </fill>
    </dxf>
    <dxf>
      <numFmt numFmtId="164" formatCode="&quot;R$&quot;\ #,##0.00"/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1F547E"/>
        </patternFill>
      </fill>
    </dxf>
    <dxf>
      <numFmt numFmtId="164" formatCode="&quot;R$&quot;\ #,##0.00"/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fill>
        <patternFill patternType="solid">
          <bgColor rgb="FF1F547E"/>
        </patternFill>
      </fill>
    </dxf>
    <dxf>
      <fill>
        <patternFill patternType="solid">
          <bgColor rgb="FF1F547E"/>
        </patternFill>
      </fill>
    </dxf>
    <dxf>
      <font>
        <color theme="0"/>
      </font>
    </dxf>
    <dxf>
      <font>
        <color theme="0"/>
      </font>
    </dxf>
    <dxf>
      <numFmt numFmtId="164" formatCode="&quot;R$&quot;\ #,##0.00"/>
    </dxf>
    <dxf>
      <font>
        <color theme="0"/>
      </font>
    </dxf>
    <dxf>
      <font>
        <color theme="0"/>
      </font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072F4E"/>
        </patternFill>
      </fill>
    </dxf>
    <dxf>
      <fill>
        <patternFill>
          <bgColor rgb="FF072F4E"/>
        </patternFill>
      </fill>
    </dxf>
    <dxf>
      <font>
        <color theme="0"/>
      </font>
    </dxf>
    <dxf>
      <font>
        <color theme="0"/>
      </font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numFmt numFmtId="164" formatCode="&quot;R$&quot;\ #,##0.00"/>
    </dxf>
    <dxf>
      <numFmt numFmtId="1" formatCode="0"/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1F547E"/>
        </patternFill>
      </fill>
    </dxf>
    <dxf>
      <fill>
        <patternFill patternType="solid">
          <bgColor rgb="FF1F547E"/>
        </patternFill>
      </fill>
    </dxf>
    <dxf>
      <numFmt numFmtId="164" formatCode="&quot;R$&quot;\ #,##0.00"/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1F547E"/>
        </patternFill>
      </fill>
    </dxf>
    <dxf>
      <numFmt numFmtId="164" formatCode="&quot;R$&quot;\ #,##0.00"/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fill>
        <patternFill patternType="solid">
          <bgColor rgb="FF1F547E"/>
        </patternFill>
      </fill>
    </dxf>
    <dxf>
      <fill>
        <patternFill patternType="solid">
          <bgColor rgb="FF1F547E"/>
        </patternFill>
      </fill>
    </dxf>
    <dxf>
      <font>
        <color theme="0"/>
      </font>
    </dxf>
    <dxf>
      <font>
        <color theme="0"/>
      </font>
    </dxf>
    <dxf>
      <numFmt numFmtId="164" formatCode="&quot;R$&quot;\ #,##0.00"/>
    </dxf>
    <dxf>
      <font>
        <color theme="0"/>
      </font>
    </dxf>
    <dxf>
      <font>
        <color theme="0"/>
      </font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072F4E"/>
        </patternFill>
      </fill>
    </dxf>
    <dxf>
      <fill>
        <patternFill>
          <bgColor rgb="FF072F4E"/>
        </patternFill>
      </fill>
    </dxf>
    <dxf>
      <font>
        <color theme="0"/>
      </font>
    </dxf>
    <dxf>
      <font>
        <color theme="0"/>
      </font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numFmt numFmtId="164" formatCode="&quot;R$&quot;\ #,##0.00"/>
    </dxf>
    <dxf>
      <numFmt numFmtId="1" formatCode="0"/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1F547E"/>
        </patternFill>
      </fill>
    </dxf>
    <dxf>
      <fill>
        <patternFill patternType="solid">
          <bgColor rgb="FF1F547E"/>
        </patternFill>
      </fill>
    </dxf>
    <dxf>
      <numFmt numFmtId="164" formatCode="&quot;R$&quot;\ #,##0.00"/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1F547E"/>
        </patternFill>
      </fill>
    </dxf>
    <dxf>
      <numFmt numFmtId="164" formatCode="&quot;R$&quot;\ #,##0.00"/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fill>
        <patternFill patternType="solid">
          <bgColor rgb="FF1F547E"/>
        </patternFill>
      </fill>
    </dxf>
    <dxf>
      <fill>
        <patternFill patternType="solid">
          <bgColor rgb="FF1F547E"/>
        </patternFill>
      </fill>
    </dxf>
    <dxf>
      <font>
        <color theme="0"/>
      </font>
    </dxf>
    <dxf>
      <font>
        <color theme="0"/>
      </font>
    </dxf>
    <dxf>
      <numFmt numFmtId="164" formatCode="&quot;R$&quot;\ #,##0.00"/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1F547E"/>
        </patternFill>
      </fill>
    </dxf>
    <dxf>
      <numFmt numFmtId="164" formatCode="&quot;R$&quot;\ #,##0.00"/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1F547E"/>
        </patternFill>
      </fill>
    </dxf>
    <dxf>
      <numFmt numFmtId="164" formatCode="&quot;R$&quot;\ #,##0.00"/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1F547E"/>
        </patternFill>
      </fill>
    </dxf>
    <dxf>
      <numFmt numFmtId="164" formatCode="&quot;R$&quot;\ #,##0.00"/>
    </dxf>
    <dxf>
      <font>
        <color theme="0"/>
      </font>
    </dxf>
    <dxf>
      <font>
        <color theme="0"/>
      </font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072F4E"/>
        </patternFill>
      </fill>
    </dxf>
    <dxf>
      <fill>
        <patternFill>
          <bgColor rgb="FF072F4E"/>
        </patternFill>
      </fill>
    </dxf>
    <dxf>
      <font>
        <color theme="0"/>
      </font>
    </dxf>
    <dxf>
      <font>
        <color theme="0"/>
      </font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numFmt numFmtId="164" formatCode="&quot;R$&quot;\ #,##0.00"/>
    </dxf>
    <dxf>
      <numFmt numFmtId="1" formatCode="0"/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1F547E"/>
        </patternFill>
      </fill>
    </dxf>
    <dxf>
      <fill>
        <patternFill patternType="solid">
          <bgColor rgb="FF1F547E"/>
        </patternFill>
      </fill>
    </dxf>
    <dxf>
      <numFmt numFmtId="164" formatCode="&quot;R$&quot;\ #,##0.00"/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1F547E"/>
        </patternFill>
      </fill>
    </dxf>
    <dxf>
      <numFmt numFmtId="164" formatCode="&quot;R$&quot;\ #,##0.00"/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fill>
        <patternFill patternType="solid">
          <bgColor rgb="FF1F547E"/>
        </patternFill>
      </fill>
    </dxf>
    <dxf>
      <fill>
        <patternFill patternType="solid">
          <bgColor rgb="FF1F547E"/>
        </patternFill>
      </fill>
    </dxf>
    <dxf>
      <font>
        <color theme="0"/>
      </font>
    </dxf>
    <dxf>
      <font>
        <color theme="0"/>
      </font>
    </dxf>
    <dxf>
      <numFmt numFmtId="164" formatCode="&quot;R$&quot;\ #,##0.00"/>
    </dxf>
    <dxf>
      <font>
        <color theme="0"/>
      </font>
    </dxf>
    <dxf>
      <font>
        <color theme="0"/>
      </font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072F4E"/>
        </patternFill>
      </fill>
    </dxf>
    <dxf>
      <fill>
        <patternFill>
          <bgColor rgb="FF072F4E"/>
        </patternFill>
      </fill>
    </dxf>
    <dxf>
      <font>
        <color theme="0"/>
      </font>
    </dxf>
    <dxf>
      <font>
        <color theme="0"/>
      </font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numFmt numFmtId="164" formatCode="&quot;R$&quot;\ #,##0.00"/>
    </dxf>
    <dxf>
      <numFmt numFmtId="1" formatCode="0"/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1F547E"/>
        </patternFill>
      </fill>
    </dxf>
    <dxf>
      <fill>
        <patternFill patternType="solid">
          <bgColor rgb="FF1F547E"/>
        </patternFill>
      </fill>
    </dxf>
    <dxf>
      <numFmt numFmtId="164" formatCode="&quot;R$&quot;\ #,##0.00"/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1F547E"/>
        </patternFill>
      </fill>
    </dxf>
    <dxf>
      <numFmt numFmtId="164" formatCode="&quot;R$&quot;\ #,##0.00"/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fill>
        <patternFill patternType="solid">
          <bgColor rgb="FF1F547E"/>
        </patternFill>
      </fill>
    </dxf>
    <dxf>
      <fill>
        <patternFill patternType="solid">
          <bgColor rgb="FF1F547E"/>
        </patternFill>
      </fill>
    </dxf>
    <dxf>
      <font>
        <color theme="0"/>
      </font>
    </dxf>
    <dxf>
      <font>
        <color theme="0"/>
      </font>
    </dxf>
    <dxf>
      <numFmt numFmtId="164" formatCode="&quot;R$&quot;\ #,##0.00"/>
    </dxf>
    <dxf>
      <font>
        <color theme="0"/>
      </font>
    </dxf>
    <dxf>
      <font>
        <color theme="0"/>
      </font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072F4E"/>
        </patternFill>
      </fill>
    </dxf>
    <dxf>
      <fill>
        <patternFill>
          <bgColor rgb="FF072F4E"/>
        </patternFill>
      </fill>
    </dxf>
    <dxf>
      <font>
        <color theme="0"/>
      </font>
    </dxf>
    <dxf>
      <font>
        <color theme="0"/>
      </font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numFmt numFmtId="164" formatCode="&quot;R$&quot;\ #,##0.00"/>
    </dxf>
    <dxf>
      <numFmt numFmtId="1" formatCode="0"/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1F547E"/>
        </patternFill>
      </fill>
    </dxf>
    <dxf>
      <fill>
        <patternFill patternType="solid">
          <bgColor rgb="FF1F547E"/>
        </patternFill>
      </fill>
    </dxf>
    <dxf>
      <numFmt numFmtId="164" formatCode="&quot;R$&quot;\ #,##0.00"/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1F547E"/>
        </patternFill>
      </fill>
    </dxf>
    <dxf>
      <numFmt numFmtId="164" formatCode="&quot;R$&quot;\ #,##0.00"/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fill>
        <patternFill patternType="solid">
          <bgColor rgb="FF1F547E"/>
        </patternFill>
      </fill>
    </dxf>
    <dxf>
      <fill>
        <patternFill patternType="solid">
          <bgColor rgb="FF1F547E"/>
        </patternFill>
      </fill>
    </dxf>
    <dxf>
      <font>
        <color theme="0"/>
      </font>
    </dxf>
    <dxf>
      <font>
        <color theme="0"/>
      </font>
    </dxf>
    <dxf>
      <numFmt numFmtId="164" formatCode="&quot;R$&quot;\ #,##0.00"/>
    </dxf>
    <dxf>
      <font>
        <color theme="0"/>
      </font>
    </dxf>
    <dxf>
      <font>
        <color theme="0"/>
      </font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072F4E"/>
        </patternFill>
      </fill>
    </dxf>
    <dxf>
      <fill>
        <patternFill>
          <bgColor rgb="FF072F4E"/>
        </patternFill>
      </fill>
    </dxf>
    <dxf>
      <font>
        <color theme="0"/>
      </font>
    </dxf>
    <dxf>
      <font>
        <color theme="0"/>
      </font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numFmt numFmtId="164" formatCode="&quot;R$&quot;\ #,##0.00"/>
    </dxf>
    <dxf>
      <numFmt numFmtId="1" formatCode="0"/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1F547E"/>
        </patternFill>
      </fill>
    </dxf>
    <dxf>
      <fill>
        <patternFill patternType="solid">
          <bgColor rgb="FF1F547E"/>
        </patternFill>
      </fill>
    </dxf>
    <dxf>
      <numFmt numFmtId="164" formatCode="&quot;R$&quot;\ #,##0.00"/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1F547E"/>
        </patternFill>
      </fill>
    </dxf>
    <dxf>
      <numFmt numFmtId="164" formatCode="&quot;R$&quot;\ #,##0.00"/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fill>
        <patternFill patternType="solid">
          <bgColor rgb="FF1F547E"/>
        </patternFill>
      </fill>
    </dxf>
    <dxf>
      <fill>
        <patternFill patternType="solid">
          <bgColor rgb="FF1F547E"/>
        </patternFill>
      </fill>
    </dxf>
    <dxf>
      <font>
        <color theme="0"/>
      </font>
    </dxf>
    <dxf>
      <font>
        <color theme="0"/>
      </font>
    </dxf>
    <dxf>
      <numFmt numFmtId="164" formatCode="&quot;R$&quot;\ #,##0.00"/>
    </dxf>
    <dxf>
      <font>
        <color theme="0"/>
      </font>
    </dxf>
    <dxf>
      <font>
        <color theme="0"/>
      </font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072F4E"/>
        </patternFill>
      </fill>
    </dxf>
    <dxf>
      <fill>
        <patternFill>
          <bgColor rgb="FF072F4E"/>
        </patternFill>
      </fill>
    </dxf>
    <dxf>
      <font>
        <color theme="0"/>
      </font>
    </dxf>
    <dxf>
      <font>
        <color theme="0"/>
      </font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numFmt numFmtId="164" formatCode="&quot;R$&quot;\ #,##0.00"/>
    </dxf>
    <dxf>
      <numFmt numFmtId="1" formatCode="0"/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1F547E"/>
        </patternFill>
      </fill>
    </dxf>
    <dxf>
      <fill>
        <patternFill patternType="solid">
          <bgColor rgb="FF1F547E"/>
        </patternFill>
      </fill>
    </dxf>
    <dxf>
      <numFmt numFmtId="164" formatCode="&quot;R$&quot;\ #,##0.00"/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1F547E"/>
        </patternFill>
      </fill>
    </dxf>
    <dxf>
      <numFmt numFmtId="164" formatCode="&quot;R$&quot;\ #,##0.00"/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fill>
        <patternFill patternType="solid">
          <bgColor rgb="FF1F547E"/>
        </patternFill>
      </fill>
    </dxf>
    <dxf>
      <fill>
        <patternFill patternType="solid">
          <bgColor rgb="FF1F547E"/>
        </patternFill>
      </fill>
    </dxf>
    <dxf>
      <font>
        <color theme="0"/>
      </font>
    </dxf>
    <dxf>
      <font>
        <color theme="0"/>
      </font>
    </dxf>
    <dxf>
      <numFmt numFmtId="164" formatCode="&quot;R$&quot;\ #,##0.00"/>
    </dxf>
    <dxf>
      <font>
        <color theme="0"/>
      </font>
    </dxf>
    <dxf>
      <font>
        <color theme="0"/>
      </font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ill>
        <patternFill>
          <bgColor rgb="FF072F4E"/>
        </patternFill>
      </fill>
    </dxf>
    <dxf>
      <fill>
        <patternFill>
          <bgColor rgb="FF072F4E"/>
        </patternFill>
      </fill>
    </dxf>
    <dxf>
      <font>
        <color theme="0"/>
      </font>
    </dxf>
    <dxf>
      <font>
        <color theme="0"/>
      </font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numFmt numFmtId="164" formatCode="&quot;R$&quot;\ #,##0.00"/>
    </dxf>
    <dxf>
      <numFmt numFmtId="1" formatCode="0"/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1F547E"/>
        </patternFill>
      </fill>
    </dxf>
    <dxf>
      <fill>
        <patternFill patternType="solid">
          <bgColor rgb="FF1F547E"/>
        </patternFill>
      </fill>
    </dxf>
    <dxf>
      <numFmt numFmtId="164" formatCode="&quot;R$&quot;\ #,##0.00"/>
    </dxf>
    <dxf>
      <fill>
        <patternFill>
          <bgColor rgb="FF1F547E"/>
        </patternFill>
      </fill>
    </dxf>
    <dxf>
      <fill>
        <patternFill>
          <bgColor rgb="FF1F547E"/>
        </patternFill>
      </fill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fill>
        <patternFill patternType="solid">
          <bgColor rgb="FF1F547E"/>
        </patternFill>
      </fill>
    </dxf>
    <dxf>
      <fill>
        <patternFill patternType="solid">
          <bgColor rgb="FF1F547E"/>
        </patternFill>
      </fill>
    </dxf>
    <dxf>
      <font>
        <color theme="0"/>
      </font>
    </dxf>
    <dxf>
      <font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numFmt numFmtId="164" formatCode="&quot;R$&quot;\ #,##0.00"/>
      <fill>
        <patternFill patternType="solid">
          <fgColor indexed="64"/>
          <bgColor theme="3" tint="0.249977111117893"/>
        </patternFill>
      </fill>
    </dxf>
    <dxf>
      <font>
        <sz val="10"/>
        <color rgb="FF243244"/>
        <name val="Arial"/>
      </font>
      <numFmt numFmtId="165" formatCode="[$-F800]dddd\,\ mmmm\ dd\,\ yyyy"/>
      <fill>
        <patternFill patternType="solid">
          <fgColor indexed="64"/>
          <bgColor rgb="FFFFF2CC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numFmt numFmtId="164" formatCode="&quot;R$&quot;\ #,##0.00"/>
      <fill>
        <patternFill patternType="solid">
          <fgColor indexed="64"/>
          <bgColor theme="3" tint="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43244"/>
        <name val="Arial"/>
        <scheme val="none"/>
      </font>
      <numFmt numFmtId="19" formatCode="dd/mm/yyyy"/>
      <fill>
        <patternFill patternType="solid">
          <fgColor indexed="64"/>
          <bgColor rgb="FFFFF2CC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numFmt numFmtId="164" formatCode="&quot;R$&quot;\ #,##0.00"/>
      <fill>
        <patternFill patternType="solid">
          <fgColor indexed="64"/>
          <bgColor theme="3" tint="0.249977111117893"/>
        </patternFill>
      </fill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numFmt numFmtId="164" formatCode="&quot;R$&quot;\ #,##0.00"/>
      <fill>
        <patternFill patternType="solid">
          <fgColor indexed="64"/>
          <bgColor theme="3" tint="0.249977111117893"/>
        </patternFill>
      </fill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numFmt numFmtId="164" formatCode="&quot;R$&quot;\ #,##0.00"/>
      <fill>
        <patternFill patternType="solid">
          <fgColor indexed="64"/>
          <bgColor theme="3" tint="0.249977111117893"/>
        </patternFill>
      </fill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numFmt numFmtId="164" formatCode="&quot;R$&quot;\ #,##0.00"/>
      <fill>
        <patternFill patternType="solid">
          <fgColor indexed="64"/>
          <bgColor theme="3" tint="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numFmt numFmtId="164" formatCode="&quot;R$&quot;\ #,##0.00"/>
      <fill>
        <patternFill patternType="solid">
          <fgColor indexed="64"/>
          <bgColor theme="3" tint="0.249977111117893"/>
        </patternFill>
      </fill>
    </dxf>
    <dxf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numFmt numFmtId="1" formatCode="0"/>
      <fill>
        <patternFill patternType="solid">
          <fgColor indexed="64"/>
          <bgColor theme="3" tint="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fill>
        <patternFill patternType="solid">
          <fgColor indexed="64"/>
          <bgColor theme="3" tint="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fill>
        <patternFill patternType="solid">
          <fgColor indexed="64"/>
          <bgColor theme="3" tint="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fill>
        <patternFill patternType="solid">
          <fgColor indexed="64"/>
          <bgColor theme="3" tint="0.249977111117893"/>
        </patternFill>
      </fill>
    </dxf>
    <dxf>
      <font>
        <color theme="0"/>
      </font>
      <border>
        <bottom style="thin">
          <color theme="4"/>
        </bottom>
        <vertical/>
        <horizontal/>
      </border>
    </dxf>
    <dxf>
      <font>
        <color theme="0"/>
      </font>
      <fill>
        <patternFill>
          <bgColor rgb="FF072F4E"/>
        </patternFill>
      </fill>
      <border>
        <left style="thin">
          <color rgb="FF072F4E"/>
        </left>
        <right style="thin">
          <color rgb="FF072F4E"/>
        </right>
        <top style="thin">
          <color rgb="FF072F4E"/>
        </top>
        <bottom style="thin">
          <color rgb="FF072F4E"/>
        </bottom>
        <vertical/>
        <horizontal/>
      </border>
    </dxf>
  </dxfs>
  <tableStyles count="1" defaultTableStyle="TableStyleMedium2" defaultPivotStyle="PivotStyleLight16">
    <tableStyle name="SlicerStyleLight1 2" pivot="0" table="0" count="10" xr9:uid="{CF88A836-DE7F-45FB-8D89-6277B79F34F6}">
      <tableStyleElement type="wholeTable" dxfId="541"/>
      <tableStyleElement type="headerRow" dxfId="540"/>
    </tableStyle>
  </tableStyles>
  <colors>
    <mruColors>
      <color rgb="FF072F4E"/>
      <color rgb="FF1F547E"/>
      <color rgb="FF00A1DA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pivotCacheDefinition" Target="pivotCache/pivotCacheDefinition2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5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Relationship Id="rId22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[Radar_de_Vendas_Dado_a_Decisao.xlsx]Planilha1!Tabela dinâmica1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Planilha1!$J$6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Planilha1!$I$7:$I$19</c:f>
              <c:strCache>
                <c:ptCount val="12"/>
                <c:pt idx="0">
                  <c:v>01/01/2025</c:v>
                </c:pt>
                <c:pt idx="1">
                  <c:v>02/01/2025</c:v>
                </c:pt>
                <c:pt idx="2">
                  <c:v>03/01/2025</c:v>
                </c:pt>
                <c:pt idx="3">
                  <c:v>04/01/2025</c:v>
                </c:pt>
                <c:pt idx="4">
                  <c:v>05/01/2025</c:v>
                </c:pt>
                <c:pt idx="5">
                  <c:v>06/01/2025</c:v>
                </c:pt>
                <c:pt idx="6">
                  <c:v>07/01/2025</c:v>
                </c:pt>
                <c:pt idx="7">
                  <c:v>08/01/2025</c:v>
                </c:pt>
                <c:pt idx="8">
                  <c:v>09/01/2025</c:v>
                </c:pt>
                <c:pt idx="9">
                  <c:v>10/01/2025</c:v>
                </c:pt>
                <c:pt idx="10">
                  <c:v>11/01/2025</c:v>
                </c:pt>
                <c:pt idx="11">
                  <c:v>12/01/2025</c:v>
                </c:pt>
              </c:strCache>
            </c:strRef>
          </c:cat>
          <c:val>
            <c:numRef>
              <c:f>Planilha1!$J$7:$J$19</c:f>
              <c:numCache>
                <c:formatCode>"R$"\ #,##0.00</c:formatCode>
                <c:ptCount val="12"/>
                <c:pt idx="0">
                  <c:v>169.4</c:v>
                </c:pt>
                <c:pt idx="1">
                  <c:v>213.62</c:v>
                </c:pt>
                <c:pt idx="2">
                  <c:v>156.62</c:v>
                </c:pt>
                <c:pt idx="3">
                  <c:v>250.48</c:v>
                </c:pt>
                <c:pt idx="4">
                  <c:v>162.94999999999999</c:v>
                </c:pt>
                <c:pt idx="5">
                  <c:v>325.125</c:v>
                </c:pt>
                <c:pt idx="6">
                  <c:v>80.919999999999987</c:v>
                </c:pt>
                <c:pt idx="7">
                  <c:v>273.22500000000002</c:v>
                </c:pt>
                <c:pt idx="8">
                  <c:v>96.6</c:v>
                </c:pt>
                <c:pt idx="9">
                  <c:v>171.51499999999999</c:v>
                </c:pt>
                <c:pt idx="10">
                  <c:v>79.8</c:v>
                </c:pt>
                <c:pt idx="11">
                  <c:v>609.68499999999995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56-4634-ADFC-D20293CCE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2289327"/>
        <c:axId val="882290159"/>
      </c:lineChart>
      <c:catAx>
        <c:axId val="88228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2290159"/>
        <c:crosses val="autoZero"/>
        <c:auto val="1"/>
        <c:lblAlgn val="ctr"/>
        <c:lblOffset val="100"/>
        <c:noMultiLvlLbl val="0"/>
      </c:catAx>
      <c:valAx>
        <c:axId val="88229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8228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[Radar_de_Vendas_Dado_a_Decisao.xlsx]Planilha1!Tabela dinâmica2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226110092837345"/>
          <c:y val="1.6750414341942167E-2"/>
          <c:w val="0.63077037709303974"/>
          <c:h val="0.9262981768954544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Planilha1!$D$6:$D$7</c:f>
              <c:strCache>
                <c:ptCount val="1"/>
                <c:pt idx="0">
                  <c:v>Aplicativo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Planilha1!$C$8:$C$18</c:f>
              <c:multiLvlStrCache>
                <c:ptCount val="7"/>
                <c:lvl>
                  <c:pt idx="0">
                    <c:v>Café especial 250g</c:v>
                  </c:pt>
                  <c:pt idx="1">
                    <c:v>Café tradicional 500g</c:v>
                  </c:pt>
                  <c:pt idx="2">
                    <c:v>Café em grãos 1kg</c:v>
                  </c:pt>
                  <c:pt idx="3">
                    <c:v>Garrafa térmica</c:v>
                  </c:pt>
                  <c:pt idx="4">
                    <c:v>Filtro de papel (100 un.)</c:v>
                  </c:pt>
                  <c:pt idx="5">
                    <c:v>Chocolate 70%</c:v>
                  </c:pt>
                  <c:pt idx="6">
                    <c:v>Kit presente</c:v>
                  </c:pt>
                </c:lvl>
                <c:lvl>
                  <c:pt idx="0">
                    <c:v>Café</c:v>
                  </c:pt>
                  <c:pt idx="3">
                    <c:v>Acessórios</c:v>
                  </c:pt>
                  <c:pt idx="5">
                    <c:v>Presentes</c:v>
                  </c:pt>
                </c:lvl>
              </c:multiLvlStrCache>
            </c:multiLvlStrRef>
          </c:cat>
          <c:val>
            <c:numRef>
              <c:f>Planilha1!$D$8:$D$18</c:f>
              <c:numCache>
                <c:formatCode>"R$"\ #,##0.00</c:formatCode>
                <c:ptCount val="7"/>
                <c:pt idx="0">
                  <c:v>113.71499999999999</c:v>
                </c:pt>
                <c:pt idx="1">
                  <c:v>78.03</c:v>
                </c:pt>
                <c:pt idx="2">
                  <c:v>71.910000000000011</c:v>
                </c:pt>
                <c:pt idx="5">
                  <c:v>113.39999999999999</c:v>
                </c:pt>
                <c:pt idx="6">
                  <c:v>74.900000000000006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5-418E-99CF-ACBDC0CE24C5}"/>
            </c:ext>
          </c:extLst>
        </c:ser>
        <c:ser>
          <c:idx val="1"/>
          <c:order val="1"/>
          <c:tx>
            <c:strRef>
              <c:f>Planilha1!$E$6:$E$7</c:f>
              <c:strCache>
                <c:ptCount val="1"/>
                <c:pt idx="0">
                  <c:v>Loja física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Planilha1!$C$8:$C$18</c:f>
              <c:multiLvlStrCache>
                <c:ptCount val="7"/>
                <c:lvl>
                  <c:pt idx="0">
                    <c:v>Café especial 250g</c:v>
                  </c:pt>
                  <c:pt idx="1">
                    <c:v>Café tradicional 500g</c:v>
                  </c:pt>
                  <c:pt idx="2">
                    <c:v>Café em grãos 1kg</c:v>
                  </c:pt>
                  <c:pt idx="3">
                    <c:v>Garrafa térmica</c:v>
                  </c:pt>
                  <c:pt idx="4">
                    <c:v>Filtro de papel (100 un.)</c:v>
                  </c:pt>
                  <c:pt idx="5">
                    <c:v>Chocolate 70%</c:v>
                  </c:pt>
                  <c:pt idx="6">
                    <c:v>Kit presente</c:v>
                  </c:pt>
                </c:lvl>
                <c:lvl>
                  <c:pt idx="0">
                    <c:v>Café</c:v>
                  </c:pt>
                  <c:pt idx="3">
                    <c:v>Acessórios</c:v>
                  </c:pt>
                  <c:pt idx="5">
                    <c:v>Presentes</c:v>
                  </c:pt>
                </c:lvl>
              </c:multiLvlStrCache>
            </c:multiLvlStrRef>
          </c:cat>
          <c:val>
            <c:numRef>
              <c:f>Planilha1!$E$8:$E$18</c:f>
              <c:numCache>
                <c:formatCode>"R$"\ #,##0.00</c:formatCode>
                <c:ptCount val="7"/>
                <c:pt idx="0">
                  <c:v>107.72999999999999</c:v>
                </c:pt>
                <c:pt idx="1">
                  <c:v>244.20499999999998</c:v>
                </c:pt>
                <c:pt idx="2">
                  <c:v>303.62</c:v>
                </c:pt>
                <c:pt idx="3">
                  <c:v>418.03500000000003</c:v>
                </c:pt>
                <c:pt idx="4">
                  <c:v>32.895000000000003</c:v>
                </c:pt>
                <c:pt idx="5">
                  <c:v>146.47499999999999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65-418E-99CF-ACBDC0CE24C5}"/>
            </c:ext>
          </c:extLst>
        </c:ser>
        <c:ser>
          <c:idx val="2"/>
          <c:order val="2"/>
          <c:tx>
            <c:strRef>
              <c:f>Planilha1!$F$6:$F$7</c:f>
              <c:strCache>
                <c:ptCount val="1"/>
                <c:pt idx="0">
                  <c:v>Site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Planilha1!$C$8:$C$18</c:f>
              <c:multiLvlStrCache>
                <c:ptCount val="7"/>
                <c:lvl>
                  <c:pt idx="0">
                    <c:v>Café especial 250g</c:v>
                  </c:pt>
                  <c:pt idx="1">
                    <c:v>Café tradicional 500g</c:v>
                  </c:pt>
                  <c:pt idx="2">
                    <c:v>Café em grãos 1kg</c:v>
                  </c:pt>
                  <c:pt idx="3">
                    <c:v>Garrafa térmica</c:v>
                  </c:pt>
                  <c:pt idx="4">
                    <c:v>Filtro de papel (100 un.)</c:v>
                  </c:pt>
                  <c:pt idx="5">
                    <c:v>Chocolate 70%</c:v>
                  </c:pt>
                  <c:pt idx="6">
                    <c:v>Kit presente</c:v>
                  </c:pt>
                </c:lvl>
                <c:lvl>
                  <c:pt idx="0">
                    <c:v>Café</c:v>
                  </c:pt>
                  <c:pt idx="3">
                    <c:v>Acessórios</c:v>
                  </c:pt>
                  <c:pt idx="5">
                    <c:v>Presentes</c:v>
                  </c:pt>
                </c:lvl>
              </c:multiLvlStrCache>
            </c:multiLvlStrRef>
          </c:cat>
          <c:val>
            <c:numRef>
              <c:f>Planilha1!$F$8:$F$18</c:f>
              <c:numCache>
                <c:formatCode>"R$"\ #,##0.00</c:formatCode>
                <c:ptCount val="7"/>
                <c:pt idx="0">
                  <c:v>381.04499999999996</c:v>
                </c:pt>
                <c:pt idx="1">
                  <c:v>134.38499999999999</c:v>
                </c:pt>
                <c:pt idx="3">
                  <c:v>341.62</c:v>
                </c:pt>
                <c:pt idx="4">
                  <c:v>10.965</c:v>
                </c:pt>
                <c:pt idx="5">
                  <c:v>17.009999999999998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65-418E-99CF-ACBDC0CE2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5567199"/>
        <c:axId val="995569279"/>
      </c:barChart>
      <c:catAx>
        <c:axId val="995567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5569279"/>
        <c:crosses val="autoZero"/>
        <c:auto val="1"/>
        <c:lblAlgn val="ctr"/>
        <c:lblOffset val="100"/>
        <c:noMultiLvlLbl val="0"/>
      </c:catAx>
      <c:valAx>
        <c:axId val="99556927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99556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371475</xdr:colOff>
      <xdr:row>26</xdr:row>
      <xdr:rowOff>85726</xdr:rowOff>
    </xdr:from>
    <xdr:to>
      <xdr:col>8</xdr:col>
      <xdr:colOff>219075</xdr:colOff>
      <xdr:row>34</xdr:row>
      <xdr:rowOff>332559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72B5B1E-6FFD-46C0-B51F-067FF49D3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3075" y="9372601"/>
          <a:ext cx="3962400" cy="30567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9525</xdr:rowOff>
    </xdr:from>
    <xdr:to>
      <xdr:col>0</xdr:col>
      <xdr:colOff>1828800</xdr:colOff>
      <xdr:row>14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idade">
              <a:extLst>
                <a:ext uri="{FF2B5EF4-FFF2-40B4-BE49-F238E27FC236}">
                  <a16:creationId xmlns:a16="http://schemas.microsoft.com/office/drawing/2014/main" id="{4B7209B3-A640-4385-A84C-679F9C64F4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dad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858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647700</xdr:colOff>
      <xdr:row>13</xdr:row>
      <xdr:rowOff>19050</xdr:rowOff>
    </xdr:from>
    <xdr:to>
      <xdr:col>19</xdr:col>
      <xdr:colOff>647700</xdr:colOff>
      <xdr:row>30</xdr:row>
      <xdr:rowOff>95249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19CEB92-4E30-407B-8092-9F850AFBB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1</xdr:row>
      <xdr:rowOff>38100</xdr:rowOff>
    </xdr:from>
    <xdr:to>
      <xdr:col>1</xdr:col>
      <xdr:colOff>0</xdr:colOff>
      <xdr:row>15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Cidade 1">
              <a:extLst>
                <a:ext uri="{FF2B5EF4-FFF2-40B4-BE49-F238E27FC236}">
                  <a16:creationId xmlns:a16="http://schemas.microsoft.com/office/drawing/2014/main" id="{00213223-AC9F-41FF-BB07-E1AD9AAD2A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dad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143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85725</xdr:colOff>
      <xdr:row>3</xdr:row>
      <xdr:rowOff>85725</xdr:rowOff>
    </xdr:from>
    <xdr:to>
      <xdr:col>10</xdr:col>
      <xdr:colOff>314324</xdr:colOff>
      <xdr:row>30</xdr:row>
      <xdr:rowOff>76200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C42BBCBC-B2BB-4C48-B481-FA40C7AD16AA}"/>
            </a:ext>
          </a:extLst>
        </xdr:cNvPr>
        <xdr:cNvGrpSpPr/>
      </xdr:nvGrpSpPr>
      <xdr:grpSpPr>
        <a:xfrm>
          <a:off x="1914525" y="1133475"/>
          <a:ext cx="6381749" cy="4876800"/>
          <a:chOff x="1943100" y="1047750"/>
          <a:chExt cx="6381749" cy="4876800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A2A98172-212B-4E11-9175-F15C9DAE8325}"/>
              </a:ext>
            </a:extLst>
          </xdr:cNvPr>
          <xdr:cNvGraphicFramePr>
            <a:graphicFrameLocks/>
          </xdr:cNvGraphicFramePr>
        </xdr:nvGraphicFramePr>
        <xdr:xfrm>
          <a:off x="1943100" y="1905000"/>
          <a:ext cx="6381749" cy="40195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5" name="Retângulo: Cantos Superiores Arredondados 4">
            <a:extLst>
              <a:ext uri="{FF2B5EF4-FFF2-40B4-BE49-F238E27FC236}">
                <a16:creationId xmlns:a16="http://schemas.microsoft.com/office/drawing/2014/main" id="{A1C67876-E1DA-497E-A1AC-9E12E8B80BC2}"/>
              </a:ext>
            </a:extLst>
          </xdr:cNvPr>
          <xdr:cNvSpPr/>
        </xdr:nvSpPr>
        <xdr:spPr>
          <a:xfrm>
            <a:off x="1952625" y="1047750"/>
            <a:ext cx="6362700" cy="876300"/>
          </a:xfrm>
          <a:prstGeom prst="round2SameRect">
            <a:avLst/>
          </a:prstGeom>
          <a:solidFill>
            <a:srgbClr val="072F4E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800" b="1">
                <a:solidFill>
                  <a:schemeClr val="bg1"/>
                </a:solidFill>
              </a:rPr>
              <a:t>VENDAS DE PRODUTOS NO</a:t>
            </a:r>
            <a:r>
              <a:rPr lang="pt-BR" sz="2000" b="1">
                <a:solidFill>
                  <a:schemeClr val="bg1"/>
                </a:solidFill>
              </a:rPr>
              <a:t>:</a:t>
            </a:r>
          </a:p>
        </xdr:txBody>
      </xdr:sp>
    </xdr:grpSp>
    <xdr:clientData/>
  </xdr:twoCellAnchor>
  <xdr:oneCellAnchor>
    <xdr:from>
      <xdr:col>3</xdr:col>
      <xdr:colOff>638175</xdr:colOff>
      <xdr:row>5</xdr:row>
      <xdr:rowOff>9525</xdr:rowOff>
    </xdr:from>
    <xdr:ext cx="2595903" cy="311496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28C4290D-F9AC-4A78-B5A2-730280CDEB35}"/>
            </a:ext>
          </a:extLst>
        </xdr:cNvPr>
        <xdr:cNvSpPr txBox="1"/>
      </xdr:nvSpPr>
      <xdr:spPr>
        <a:xfrm>
          <a:off x="3838575" y="1419225"/>
          <a:ext cx="259590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400" b="1">
              <a:solidFill>
                <a:schemeClr val="bg1"/>
              </a:solidFill>
            </a:rPr>
            <a:t>SITE | LOJA</a:t>
          </a:r>
          <a:r>
            <a:rPr lang="pt-BR" sz="1400" b="1" baseline="0">
              <a:solidFill>
                <a:schemeClr val="bg1"/>
              </a:solidFill>
            </a:rPr>
            <a:t> FISICA | APLICATIVO</a:t>
          </a:r>
          <a:endParaRPr lang="pt-BR" sz="1400" b="1">
            <a:solidFill>
              <a:schemeClr val="bg1"/>
            </a:solidFill>
          </a:endParaRPr>
        </a:p>
      </xdr:txBody>
    </xdr:sp>
    <xdr:clientData/>
  </xdr:oneCellAnchor>
  <xdr:twoCellAnchor>
    <xdr:from>
      <xdr:col>10</xdr:col>
      <xdr:colOff>647699</xdr:colOff>
      <xdr:row>9</xdr:row>
      <xdr:rowOff>0</xdr:rowOff>
    </xdr:from>
    <xdr:to>
      <xdr:col>19</xdr:col>
      <xdr:colOff>647700</xdr:colOff>
      <xdr:row>13</xdr:row>
      <xdr:rowOff>9525</xdr:rowOff>
    </xdr:to>
    <xdr:sp macro="" textlink="">
      <xdr:nvSpPr>
        <xdr:cNvPr id="11" name="Retângulo: Cantos Superiores Arredondados 10">
          <a:extLst>
            <a:ext uri="{FF2B5EF4-FFF2-40B4-BE49-F238E27FC236}">
              <a16:creationId xmlns:a16="http://schemas.microsoft.com/office/drawing/2014/main" id="{6219C6C1-137B-4965-BEC8-479EA9B644CB}"/>
            </a:ext>
          </a:extLst>
        </xdr:cNvPr>
        <xdr:cNvSpPr/>
      </xdr:nvSpPr>
      <xdr:spPr>
        <a:xfrm>
          <a:off x="8629649" y="2133600"/>
          <a:ext cx="6172201" cy="733425"/>
        </a:xfrm>
        <a:prstGeom prst="round2SameRect">
          <a:avLst/>
        </a:prstGeom>
        <a:solidFill>
          <a:srgbClr val="072F4E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ACOMPANHAMENTO</a:t>
          </a:r>
          <a:r>
            <a:rPr lang="pt-BR" sz="1800" b="1" baseline="0"/>
            <a:t> ANUAL DO FATURAMENTO MENSAL</a:t>
          </a:r>
          <a:endParaRPr lang="pt-BR" sz="1800" b="1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ite" refreshedDate="46309.896684837964" backgroundQuery="1" createdVersion="7" refreshedVersion="7" minRefreshableVersion="3" recordCount="0" supportSubquery="1" supportAdvancedDrill="1" xr:uid="{A6329E59-B021-47D2-971C-C3BE7E271B3A}">
  <cacheSource type="external" connectionId="1"/>
  <cacheFields count="3">
    <cacheField name="[Vendas].[Mes].[Mes]" caption="Mes" numFmtId="0" hierarchy="13" level="1">
      <sharedItems containsSemiMixedTypes="0" containsNonDate="0" containsDate="1" containsString="0" minDate="2025-01-01T00:00:00" maxDate="2025-01-13T00:00:00" count="12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</sharedItems>
    </cacheField>
    <cacheField name="[Measures].[Soma de Faturamento_liquido]" caption="Soma de Faturamento_liquido" numFmtId="0" hierarchy="17" level="32767"/>
    <cacheField name="[Vendas].[Cidade].[Cidade]" caption="Cidade" numFmtId="0" hierarchy="4" level="1">
      <sharedItems containsSemiMixedTypes="0" containsNonDate="0" containsString="0"/>
    </cacheField>
  </cacheFields>
  <cacheHierarchies count="18">
    <cacheHierarchy uniqueName="[Vendas].[ID_Venda]" caption="ID_Venda" attribute="1" defaultMemberUniqueName="[Vendas].[ID_Venda].[All]" allUniqueName="[Vendas].[ID_Venda].[All]" dimensionUniqueName="[Vendas]" displayFolder="" count="0" memberValueDatatype="130" unbalanced="0"/>
    <cacheHierarchy uniqueName="[Vendas].[Data]" caption="Data" attribute="1" time="1" defaultMemberUniqueName="[Vendas].[Data].[All]" allUniqueName="[Vendas].[Data].[All]" dimensionUniqueName="[Vendas]" displayFolder="" count="0" memberValueDatatype="7" unbalanced="0"/>
    <cacheHierarchy uniqueName="[Vendas].[Produto]" caption="Produto" attribute="1" defaultMemberUniqueName="[Vendas].[Produto].[All]" allUniqueName="[Vendas].[Produto].[All]" dimensionUniqueName="[Vendas]" displayFolder="" count="0" memberValueDatatype="130" unbalanced="0"/>
    <cacheHierarchy uniqueName="[Vendas].[Categoria]" caption="Categoria" attribute="1" defaultMemberUniqueName="[Vendas].[Categoria].[All]" allUniqueName="[Vendas].[Categoria].[All]" dimensionUniqueName="[Vendas]" displayFolder="" count="0" memberValueDatatype="130" unbalanced="0"/>
    <cacheHierarchy uniqueName="[Vendas].[Cidade]" caption="Cidade" attribute="1" defaultMemberUniqueName="[Vendas].[Cidade].[All]" allUniqueName="[Vendas].[Cidade].[All]" dimensionUniqueName="[Vendas]" displayFolder="" count="2" memberValueDatatype="130" unbalanced="0">
      <fieldsUsage count="2">
        <fieldUsage x="-1"/>
        <fieldUsage x="2"/>
      </fieldsUsage>
    </cacheHierarchy>
    <cacheHierarchy uniqueName="[Vendas].[Canal]" caption="Canal" attribute="1" defaultMemberUniqueName="[Vendas].[Canal].[All]" allUniqueName="[Vendas].[Canal].[All]" dimensionUniqueName="[Vendas]" displayFolder="" count="0" memberValueDatatype="130" unbalanced="0"/>
    <cacheHierarchy uniqueName="[Vendas].[Forma_pagamento]" caption="Forma_pagamento" attribute="1" defaultMemberUniqueName="[Vendas].[Forma_pagamento].[All]" allUniqueName="[Vendas].[Forma_pagamento].[All]" dimensionUniqueName="[Vendas]" displayFolder="" count="0" memberValueDatatype="130" unbalanced="0"/>
    <cacheHierarchy uniqueName="[Vendas].[Quantidade]" caption="Quantidade" attribute="1" defaultMemberUniqueName="[Vendas].[Quantidade].[All]" allUniqueName="[Vendas].[Quantidade].[All]" dimensionUniqueName="[Vendas]" displayFolder="" count="0" memberValueDatatype="20" unbalanced="0"/>
    <cacheHierarchy uniqueName="[Vendas].[Preco_unitario]" caption="Preco_unitario" attribute="1" defaultMemberUniqueName="[Vendas].[Preco_unitario].[All]" allUniqueName="[Vendas].[Preco_unitario].[All]" dimensionUniqueName="[Vendas]" displayFolder="" count="0" memberValueDatatype="5" unbalanced="0"/>
    <cacheHierarchy uniqueName="[Vendas].[Desconto_pct]" caption="Desconto_pct" attribute="1" defaultMemberUniqueName="[Vendas].[Desconto_pct].[All]" allUniqueName="[Vendas].[Desconto_pct].[All]" dimensionUniqueName="[Vendas]" displayFolder="" count="0" memberValueDatatype="5" unbalanced="0"/>
    <cacheHierarchy uniqueName="[Vendas].[Faturamento_bruto]" caption="Faturamento_bruto" attribute="1" defaultMemberUniqueName="[Vendas].[Faturamento_bruto].[All]" allUniqueName="[Vendas].[Faturamento_bruto].[All]" dimensionUniqueName="[Vendas]" displayFolder="" count="0" memberValueDatatype="5" unbalanced="0"/>
    <cacheHierarchy uniqueName="[Vendas].[Desconto]" caption="Desconto" attribute="1" defaultMemberUniqueName="[Vendas].[Desconto].[All]" allUniqueName="[Vendas].[Desconto].[All]" dimensionUniqueName="[Vendas]" displayFolder="" count="0" memberValueDatatype="5" unbalanced="0"/>
    <cacheHierarchy uniqueName="[Vendas].[Faturamento_liquido]" caption="Faturamento_liquido" attribute="1" defaultMemberUniqueName="[Vendas].[Faturamento_liquido].[All]" allUniqueName="[Vendas].[Faturamento_liquido].[All]" dimensionUniqueName="[Vendas]" displayFolder="" count="0" memberValueDatatype="5" unbalanced="0"/>
    <cacheHierarchy uniqueName="[Vendas].[Mes]" caption="Mes" attribute="1" time="1" defaultMemberUniqueName="[Vendas].[Mes].[All]" allUniqueName="[Vendas].[Mes].[All]" dimensionUniqueName="[Vendas]" displayFolder="" count="2" memberValueDatatype="7" unbalanced="0">
      <fieldsUsage count="2">
        <fieldUsage x="-1"/>
        <fieldUsage x="0"/>
      </fieldsUsage>
    </cacheHierarchy>
    <cacheHierarchy uniqueName="[Vendas].[Mes2]" caption="Mes2" attribute="1" defaultMemberUniqueName="[Vendas].[Mes2].[All]" allUniqueName="[Vendas].[Mes2].[All]" dimensionUniqueName="[Vendas]" displayFolder="" count="0" memberValueDatatype="130" unbalanced="0"/>
    <cacheHierarchy uniqueName="[Measures].[__XL_Count Vendas]" caption="__XL_Count Vendas" measure="1" displayFolder="" measureGroup="Vendas" count="0" hidden="1"/>
    <cacheHierarchy uniqueName="[Measures].[__No measures defined]" caption="__No measures defined" measure="1" displayFolder="" count="0" hidden="1"/>
    <cacheHierarchy uniqueName="[Measures].[Soma de Faturamento_liquido]" caption="Soma de Faturamento_liquido" measure="1" displayFolder="" measureGroup="Vend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Vendas" uniqueName="[Vendas]" caption="Vendas"/>
  </dimensions>
  <measureGroups count="1">
    <measureGroup name="Vendas" caption="Venda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ite" refreshedDate="46309.896685185187" backgroundQuery="1" createdVersion="7" refreshedVersion="7" minRefreshableVersion="3" recordCount="0" supportSubquery="1" supportAdvancedDrill="1" xr:uid="{A4A9C39E-F465-4231-9694-32C093C2AFC0}">
  <cacheSource type="external" connectionId="1"/>
  <cacheFields count="6">
    <cacheField name="[Vendas].[Mes].[Mes]" caption="Mes" numFmtId="0" hierarchy="13" level="1">
      <sharedItems count="12">
        <s v="01/1/2025"/>
        <s v="01/10/2025"/>
        <s v="01/11/2025"/>
        <s v="01/12/2025"/>
        <s v="01/2/2025"/>
        <s v="01/3/2025"/>
        <s v="01/4/2025"/>
        <s v="01/5/2025"/>
        <s v="01/6/2025"/>
        <s v="01/7/2025"/>
        <s v="01/8/2025"/>
        <s v="01/9/2025"/>
      </sharedItems>
    </cacheField>
    <cacheField name="[Measures].[Soma de Faturamento_liquido]" caption="Soma de Faturamento_liquido" numFmtId="0" hierarchy="17" level="32767"/>
    <cacheField name="[Vendas].[Produto].[Produto]" caption="Produto" numFmtId="0" hierarchy="2" level="1">
      <sharedItems count="7">
        <s v="Filtro de papel (100 un.)"/>
        <s v="Garrafa térmica"/>
        <s v="Café em grãos 1kg"/>
        <s v="Café especial 250g"/>
        <s v="Café tradicional 500g"/>
        <s v="Chocolate 70%"/>
        <s v="Kit presente"/>
      </sharedItems>
    </cacheField>
    <cacheField name="[Vendas].[Categoria].[Categoria]" caption="Categoria" numFmtId="0" hierarchy="3" level="1">
      <sharedItems count="3">
        <s v="Acessórios"/>
        <s v="Café"/>
        <s v="Presentes"/>
      </sharedItems>
    </cacheField>
    <cacheField name="[Vendas].[Canal].[Canal]" caption="Canal" numFmtId="0" hierarchy="5" level="1">
      <sharedItems count="3">
        <s v="Aplicativo"/>
        <s v="Loja física"/>
        <s v="Site"/>
      </sharedItems>
    </cacheField>
    <cacheField name="[Vendas].[Cidade].[Cidade]" caption="Cidade" numFmtId="0" hierarchy="4" level="1">
      <sharedItems containsSemiMixedTypes="0" containsNonDate="0" containsString="0"/>
    </cacheField>
  </cacheFields>
  <cacheHierarchies count="18">
    <cacheHierarchy uniqueName="[Vendas].[ID_Venda]" caption="ID_Venda" attribute="1" defaultMemberUniqueName="[Vendas].[ID_Venda].[All]" allUniqueName="[Vendas].[ID_Venda].[All]" dimensionUniqueName="[Vendas]" displayFolder="" count="0" memberValueDatatype="130" unbalanced="0"/>
    <cacheHierarchy uniqueName="[Vendas].[Data]" caption="Data" attribute="1" time="1" defaultMemberUniqueName="[Vendas].[Data].[All]" allUniqueName="[Vendas].[Data].[All]" dimensionUniqueName="[Vendas]" displayFolder="" count="0" memberValueDatatype="7" unbalanced="0"/>
    <cacheHierarchy uniqueName="[Vendas].[Produto]" caption="Produto" attribute="1" defaultMemberUniqueName="[Vendas].[Produto].[All]" allUniqueName="[Vendas].[Produto].[All]" dimensionUniqueName="[Vendas]" displayFolder="" count="2" memberValueDatatype="130" unbalanced="0">
      <fieldsUsage count="2">
        <fieldUsage x="-1"/>
        <fieldUsage x="2"/>
      </fieldsUsage>
    </cacheHierarchy>
    <cacheHierarchy uniqueName="[Vendas].[Categoria]" caption="Categoria" attribute="1" defaultMemberUniqueName="[Vendas].[Categoria].[All]" allUniqueName="[Vendas].[Categoria].[All]" dimensionUniqueName="[Vendas]" displayFolder="" count="2" memberValueDatatype="130" unbalanced="0">
      <fieldsUsage count="2">
        <fieldUsage x="-1"/>
        <fieldUsage x="3"/>
      </fieldsUsage>
    </cacheHierarchy>
    <cacheHierarchy uniqueName="[Vendas].[Cidade]" caption="Cidade" attribute="1" defaultMemberUniqueName="[Vendas].[Cidade].[All]" allUniqueName="[Vendas].[Cidade].[All]" dimensionUniqueName="[Vendas]" displayFolder="" count="2" memberValueDatatype="130" unbalanced="0">
      <fieldsUsage count="2">
        <fieldUsage x="-1"/>
        <fieldUsage x="5"/>
      </fieldsUsage>
    </cacheHierarchy>
    <cacheHierarchy uniqueName="[Vendas].[Canal]" caption="Canal" attribute="1" defaultMemberUniqueName="[Vendas].[Canal].[All]" allUniqueName="[Vendas].[Canal].[All]" dimensionUniqueName="[Vendas]" displayFolder="" count="2" memberValueDatatype="130" unbalanced="0">
      <fieldsUsage count="2">
        <fieldUsage x="-1"/>
        <fieldUsage x="4"/>
      </fieldsUsage>
    </cacheHierarchy>
    <cacheHierarchy uniqueName="[Vendas].[Forma_pagamento]" caption="Forma_pagamento" attribute="1" defaultMemberUniqueName="[Vendas].[Forma_pagamento].[All]" allUniqueName="[Vendas].[Forma_pagamento].[All]" dimensionUniqueName="[Vendas]" displayFolder="" count="0" memberValueDatatype="130" unbalanced="0"/>
    <cacheHierarchy uniqueName="[Vendas].[Quantidade]" caption="Quantidade" attribute="1" defaultMemberUniqueName="[Vendas].[Quantidade].[All]" allUniqueName="[Vendas].[Quantidade].[All]" dimensionUniqueName="[Vendas]" displayFolder="" count="2" memberValueDatatype="20" unbalanced="0"/>
    <cacheHierarchy uniqueName="[Vendas].[Preco_unitario]" caption="Preco_unitario" attribute="1" defaultMemberUniqueName="[Vendas].[Preco_unitario].[All]" allUniqueName="[Vendas].[Preco_unitario].[All]" dimensionUniqueName="[Vendas]" displayFolder="" count="0" memberValueDatatype="5" unbalanced="0"/>
    <cacheHierarchy uniqueName="[Vendas].[Desconto_pct]" caption="Desconto_pct" attribute="1" defaultMemberUniqueName="[Vendas].[Desconto_pct].[All]" allUniqueName="[Vendas].[Desconto_pct].[All]" dimensionUniqueName="[Vendas]" displayFolder="" count="0" memberValueDatatype="5" unbalanced="0"/>
    <cacheHierarchy uniqueName="[Vendas].[Faturamento_bruto]" caption="Faturamento_bruto" attribute="1" defaultMemberUniqueName="[Vendas].[Faturamento_bruto].[All]" allUniqueName="[Vendas].[Faturamento_bruto].[All]" dimensionUniqueName="[Vendas]" displayFolder="" count="0" memberValueDatatype="5" unbalanced="0"/>
    <cacheHierarchy uniqueName="[Vendas].[Desconto]" caption="Desconto" attribute="1" defaultMemberUniqueName="[Vendas].[Desconto].[All]" allUniqueName="[Vendas].[Desconto].[All]" dimensionUniqueName="[Vendas]" displayFolder="" count="0" memberValueDatatype="5" unbalanced="0"/>
    <cacheHierarchy uniqueName="[Vendas].[Faturamento_liquido]" caption="Faturamento_liquido" attribute="1" defaultMemberUniqueName="[Vendas].[Faturamento_liquido].[All]" allUniqueName="[Vendas].[Faturamento_liquido].[All]" dimensionUniqueName="[Vendas]" displayFolder="" count="0" memberValueDatatype="5" unbalanced="0"/>
    <cacheHierarchy uniqueName="[Vendas].[Mes]" caption="Mes" attribute="1" time="1" defaultMemberUniqueName="[Vendas].[Mes].[All]" allUniqueName="[Vendas].[Mes].[All]" dimensionUniqueName="[Vendas]" displayFolder="" count="2" memberValueDatatype="7" unbalanced="0">
      <fieldsUsage count="2">
        <fieldUsage x="-1"/>
        <fieldUsage x="0"/>
      </fieldsUsage>
    </cacheHierarchy>
    <cacheHierarchy uniqueName="[Vendas].[Mes2]" caption="Mes2" attribute="1" defaultMemberUniqueName="[Vendas].[Mes2].[All]" allUniqueName="[Vendas].[Mes2].[All]" dimensionUniqueName="[Vendas]" displayFolder="" count="0" memberValueDatatype="130" unbalanced="0"/>
    <cacheHierarchy uniqueName="[Measures].[__XL_Count Vendas]" caption="__XL_Count Vendas" measure="1" displayFolder="" measureGroup="Vendas" count="0" hidden="1"/>
    <cacheHierarchy uniqueName="[Measures].[__No measures defined]" caption="__No measures defined" measure="1" displayFolder="" count="0" hidden="1"/>
    <cacheHierarchy uniqueName="[Measures].[Soma de Faturamento_liquido]" caption="Soma de Faturamento_liquido" measure="1" displayFolder="" measureGroup="Vend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Vendas" uniqueName="[Vendas]" caption="Vendas"/>
  </dimensions>
  <measureGroups count="1">
    <measureGroup name="Vendas" caption="Venda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ite" refreshedDate="46309.896685532411" backgroundQuery="1" createdVersion="7" refreshedVersion="7" minRefreshableVersion="3" recordCount="0" supportSubquery="1" supportAdvancedDrill="1" xr:uid="{ED3318CD-B0CC-4C44-B71F-4DB81A8FB0EB}">
  <cacheSource type="external" connectionId="1"/>
  <cacheFields count="4">
    <cacheField name="[Vendas].[Mes].[Mes]" caption="Mes" numFmtId="0" hierarchy="13" level="1">
      <sharedItems containsSemiMixedTypes="0" containsNonDate="0" containsDate="1" containsString="0" minDate="2025-01-01T00:00:00" maxDate="2025-01-13T00:00:00" count="12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</sharedItems>
    </cacheField>
    <cacheField name="[Vendas].[Cidade].[Cidade]" caption="Cidade" numFmtId="0" hierarchy="4" level="1">
      <sharedItems containsSemiMixedTypes="0" containsNonDate="0" containsString="0"/>
    </cacheField>
    <cacheField name="[Vendas].[Produto].[Produto]" caption="Produto" numFmtId="0" hierarchy="2" level="1">
      <sharedItems count="7">
        <s v="Café em grãos 1kg"/>
        <s v="Café especial 250g"/>
        <s v="Café tradicional 500g"/>
        <s v="Chocolate 70%"/>
        <s v="Filtro de papel (100 un.)"/>
        <s v="Garrafa térmica"/>
        <s v="Kit presente"/>
      </sharedItems>
    </cacheField>
    <cacheField name="[Measures].[Soma de Quantidade]" caption="Soma de Quantidade" numFmtId="0" hierarchy="18" level="32767"/>
  </cacheFields>
  <cacheHierarchies count="19">
    <cacheHierarchy uniqueName="[Vendas].[ID_Venda]" caption="ID_Venda" attribute="1" defaultMemberUniqueName="[Vendas].[ID_Venda].[All]" allUniqueName="[Vendas].[ID_Venda].[All]" dimensionUniqueName="[Vendas]" displayFolder="" count="0" memberValueDatatype="130" unbalanced="0"/>
    <cacheHierarchy uniqueName="[Vendas].[Data]" caption="Data" attribute="1" time="1" defaultMemberUniqueName="[Vendas].[Data].[All]" allUniqueName="[Vendas].[Data].[All]" dimensionUniqueName="[Vendas]" displayFolder="" count="0" memberValueDatatype="7" unbalanced="0"/>
    <cacheHierarchy uniqueName="[Vendas].[Produto]" caption="Produto" attribute="1" defaultMemberUniqueName="[Vendas].[Produto].[All]" allUniqueName="[Vendas].[Produto].[All]" dimensionUniqueName="[Vendas]" displayFolder="" count="2" memberValueDatatype="130" unbalanced="0">
      <fieldsUsage count="2">
        <fieldUsage x="-1"/>
        <fieldUsage x="2"/>
      </fieldsUsage>
    </cacheHierarchy>
    <cacheHierarchy uniqueName="[Vendas].[Categoria]" caption="Categoria" attribute="1" defaultMemberUniqueName="[Vendas].[Categoria].[All]" allUniqueName="[Vendas].[Categoria].[All]" dimensionUniqueName="[Vendas]" displayFolder="" count="0" memberValueDatatype="130" unbalanced="0"/>
    <cacheHierarchy uniqueName="[Vendas].[Cidade]" caption="Cidade" attribute="1" defaultMemberUniqueName="[Vendas].[Cidade].[All]" allUniqueName="[Vendas].[Cidade].[All]" dimensionUniqueName="[Vendas]" displayFolder="" count="2" memberValueDatatype="130" unbalanced="0">
      <fieldsUsage count="2">
        <fieldUsage x="-1"/>
        <fieldUsage x="1"/>
      </fieldsUsage>
    </cacheHierarchy>
    <cacheHierarchy uniqueName="[Vendas].[Canal]" caption="Canal" attribute="1" defaultMemberUniqueName="[Vendas].[Canal].[All]" allUniqueName="[Vendas].[Canal].[All]" dimensionUniqueName="[Vendas]" displayFolder="" count="0" memberValueDatatype="130" unbalanced="0"/>
    <cacheHierarchy uniqueName="[Vendas].[Forma_pagamento]" caption="Forma_pagamento" attribute="1" defaultMemberUniqueName="[Vendas].[Forma_pagamento].[All]" allUniqueName="[Vendas].[Forma_pagamento].[All]" dimensionUniqueName="[Vendas]" displayFolder="" count="0" memberValueDatatype="130" unbalanced="0"/>
    <cacheHierarchy uniqueName="[Vendas].[Quantidade]" caption="Quantidade" attribute="1" defaultMemberUniqueName="[Vendas].[Quantidade].[All]" allUniqueName="[Vendas].[Quantidade].[All]" dimensionUniqueName="[Vendas]" displayFolder="" count="0" memberValueDatatype="20" unbalanced="0"/>
    <cacheHierarchy uniqueName="[Vendas].[Preco_unitario]" caption="Preco_unitario" attribute="1" defaultMemberUniqueName="[Vendas].[Preco_unitario].[All]" allUniqueName="[Vendas].[Preco_unitario].[All]" dimensionUniqueName="[Vendas]" displayFolder="" count="0" memberValueDatatype="5" unbalanced="0"/>
    <cacheHierarchy uniqueName="[Vendas].[Desconto_pct]" caption="Desconto_pct" attribute="1" defaultMemberUniqueName="[Vendas].[Desconto_pct].[All]" allUniqueName="[Vendas].[Desconto_pct].[All]" dimensionUniqueName="[Vendas]" displayFolder="" count="0" memberValueDatatype="5" unbalanced="0"/>
    <cacheHierarchy uniqueName="[Vendas].[Faturamento_bruto]" caption="Faturamento_bruto" attribute="1" defaultMemberUniqueName="[Vendas].[Faturamento_bruto].[All]" allUniqueName="[Vendas].[Faturamento_bruto].[All]" dimensionUniqueName="[Vendas]" displayFolder="" count="0" memberValueDatatype="5" unbalanced="0"/>
    <cacheHierarchy uniqueName="[Vendas].[Desconto]" caption="Desconto" attribute="1" defaultMemberUniqueName="[Vendas].[Desconto].[All]" allUniqueName="[Vendas].[Desconto].[All]" dimensionUniqueName="[Vendas]" displayFolder="" count="0" memberValueDatatype="5" unbalanced="0"/>
    <cacheHierarchy uniqueName="[Vendas].[Faturamento_liquido]" caption="Faturamento_liquido" attribute="1" defaultMemberUniqueName="[Vendas].[Faturamento_liquido].[All]" allUniqueName="[Vendas].[Faturamento_liquido].[All]" dimensionUniqueName="[Vendas]" displayFolder="" count="0" memberValueDatatype="5" unbalanced="0"/>
    <cacheHierarchy uniqueName="[Vendas].[Mes]" caption="Mes" attribute="1" time="1" defaultMemberUniqueName="[Vendas].[Mes].[All]" allUniqueName="[Vendas].[Mes].[All]" dimensionUniqueName="[Vendas]" displayFolder="" count="2" memberValueDatatype="7" unbalanced="0">
      <fieldsUsage count="2">
        <fieldUsage x="-1"/>
        <fieldUsage x="0"/>
      </fieldsUsage>
    </cacheHierarchy>
    <cacheHierarchy uniqueName="[Vendas].[Mes2]" caption="Mes2" attribute="1" defaultMemberUniqueName="[Vendas].[Mes2].[All]" allUniqueName="[Vendas].[Mes2].[All]" dimensionUniqueName="[Vendas]" displayFolder="" count="0" memberValueDatatype="130" unbalanced="0"/>
    <cacheHierarchy uniqueName="[Measures].[__XL_Count Vendas]" caption="__XL_Count Vendas" measure="1" displayFolder="" measureGroup="Vendas" count="0" hidden="1"/>
    <cacheHierarchy uniqueName="[Measures].[__No measures defined]" caption="__No measures defined" measure="1" displayFolder="" count="0" hidden="1"/>
    <cacheHierarchy uniqueName="[Measures].[Soma de Faturamento_liquido]" caption="Soma de Faturamento_liquido" measure="1" displayFolder="" measureGroup="Vend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Quantidade]" caption="Soma de Quantidade" measure="1" displayFolder="" measureGroup="Venda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Vendas" uniqueName="[Vendas]" caption="Vendas"/>
  </dimensions>
  <measureGroups count="1">
    <measureGroup name="Vendas" caption="Venda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ite" refreshedDate="46309.896685879627" backgroundQuery="1" createdVersion="7" refreshedVersion="7" minRefreshableVersion="3" recordCount="0" supportSubquery="1" supportAdvancedDrill="1" xr:uid="{876E4987-5FC9-4479-9029-AA11B6029A7B}">
  <cacheSource type="external" connectionId="1"/>
  <cacheFields count="4">
    <cacheField name="[Vendas].[Mes].[Mes]" caption="Mes" numFmtId="0" hierarchy="13" level="1">
      <sharedItems containsSemiMixedTypes="0" containsNonDate="0" containsDate="1" containsString="0" minDate="2025-01-01T00:00:00" maxDate="2025-01-13T00:00:00" count="12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</sharedItems>
    </cacheField>
    <cacheField name="[Measures].[Soma de Faturamento_liquido]" caption="Soma de Faturamento_liquido" numFmtId="0" hierarchy="17" level="32767"/>
    <cacheField name="[Vendas].[Cidade].[Cidade]" caption="Cidade" numFmtId="0" hierarchy="4" level="1">
      <sharedItems containsSemiMixedTypes="0" containsNonDate="0" containsString="0"/>
    </cacheField>
    <cacheField name="[Vendas].[Canal].[Canal]" caption="Canal" numFmtId="0" hierarchy="5" level="1">
      <sharedItems count="3">
        <s v="Aplicativo"/>
        <s v="Loja física"/>
        <s v="Site"/>
      </sharedItems>
    </cacheField>
  </cacheFields>
  <cacheHierarchies count="18">
    <cacheHierarchy uniqueName="[Vendas].[ID_Venda]" caption="ID_Venda" attribute="1" defaultMemberUniqueName="[Vendas].[ID_Venda].[All]" allUniqueName="[Vendas].[ID_Venda].[All]" dimensionUniqueName="[Vendas]" displayFolder="" count="0" memberValueDatatype="130" unbalanced="0"/>
    <cacheHierarchy uniqueName="[Vendas].[Data]" caption="Data" attribute="1" time="1" defaultMemberUniqueName="[Vendas].[Data].[All]" allUniqueName="[Vendas].[Data].[All]" dimensionUniqueName="[Vendas]" displayFolder="" count="0" memberValueDatatype="7" unbalanced="0"/>
    <cacheHierarchy uniqueName="[Vendas].[Produto]" caption="Produto" attribute="1" defaultMemberUniqueName="[Vendas].[Produto].[All]" allUniqueName="[Vendas].[Produto].[All]" dimensionUniqueName="[Vendas]" displayFolder="" count="0" memberValueDatatype="130" unbalanced="0"/>
    <cacheHierarchy uniqueName="[Vendas].[Categoria]" caption="Categoria" attribute="1" defaultMemberUniqueName="[Vendas].[Categoria].[All]" allUniqueName="[Vendas].[Categoria].[All]" dimensionUniqueName="[Vendas]" displayFolder="" count="0" memberValueDatatype="130" unbalanced="0"/>
    <cacheHierarchy uniqueName="[Vendas].[Cidade]" caption="Cidade" attribute="1" defaultMemberUniqueName="[Vendas].[Cidade].[All]" allUniqueName="[Vendas].[Cidade].[All]" dimensionUniqueName="[Vendas]" displayFolder="" count="2" memberValueDatatype="130" unbalanced="0">
      <fieldsUsage count="2">
        <fieldUsage x="-1"/>
        <fieldUsage x="2"/>
      </fieldsUsage>
    </cacheHierarchy>
    <cacheHierarchy uniqueName="[Vendas].[Canal]" caption="Canal" attribute="1" defaultMemberUniqueName="[Vendas].[Canal].[All]" allUniqueName="[Vendas].[Canal].[All]" dimensionUniqueName="[Vendas]" displayFolder="" count="2" memberValueDatatype="130" unbalanced="0">
      <fieldsUsage count="2">
        <fieldUsage x="-1"/>
        <fieldUsage x="3"/>
      </fieldsUsage>
    </cacheHierarchy>
    <cacheHierarchy uniqueName="[Vendas].[Forma_pagamento]" caption="Forma_pagamento" attribute="1" defaultMemberUniqueName="[Vendas].[Forma_pagamento].[All]" allUniqueName="[Vendas].[Forma_pagamento].[All]" dimensionUniqueName="[Vendas]" displayFolder="" count="0" memberValueDatatype="130" unbalanced="0"/>
    <cacheHierarchy uniqueName="[Vendas].[Quantidade]" caption="Quantidade" attribute="1" defaultMemberUniqueName="[Vendas].[Quantidade].[All]" allUniqueName="[Vendas].[Quantidade].[All]" dimensionUniqueName="[Vendas]" displayFolder="" count="0" memberValueDatatype="20" unbalanced="0"/>
    <cacheHierarchy uniqueName="[Vendas].[Preco_unitario]" caption="Preco_unitario" attribute="1" defaultMemberUniqueName="[Vendas].[Preco_unitario].[All]" allUniqueName="[Vendas].[Preco_unitario].[All]" dimensionUniqueName="[Vendas]" displayFolder="" count="0" memberValueDatatype="5" unbalanced="0"/>
    <cacheHierarchy uniqueName="[Vendas].[Desconto_pct]" caption="Desconto_pct" attribute="1" defaultMemberUniqueName="[Vendas].[Desconto_pct].[All]" allUniqueName="[Vendas].[Desconto_pct].[All]" dimensionUniqueName="[Vendas]" displayFolder="" count="0" memberValueDatatype="5" unbalanced="0"/>
    <cacheHierarchy uniqueName="[Vendas].[Faturamento_bruto]" caption="Faturamento_bruto" attribute="1" defaultMemberUniqueName="[Vendas].[Faturamento_bruto].[All]" allUniqueName="[Vendas].[Faturamento_bruto].[All]" dimensionUniqueName="[Vendas]" displayFolder="" count="0" memberValueDatatype="5" unbalanced="0"/>
    <cacheHierarchy uniqueName="[Vendas].[Desconto]" caption="Desconto" attribute="1" defaultMemberUniqueName="[Vendas].[Desconto].[All]" allUniqueName="[Vendas].[Desconto].[All]" dimensionUniqueName="[Vendas]" displayFolder="" count="0" memberValueDatatype="5" unbalanced="0"/>
    <cacheHierarchy uniqueName="[Vendas].[Faturamento_liquido]" caption="Faturamento_liquido" attribute="1" defaultMemberUniqueName="[Vendas].[Faturamento_liquido].[All]" allUniqueName="[Vendas].[Faturamento_liquido].[All]" dimensionUniqueName="[Vendas]" displayFolder="" count="0" memberValueDatatype="5" unbalanced="0"/>
    <cacheHierarchy uniqueName="[Vendas].[Mes]" caption="Mes" attribute="1" time="1" defaultMemberUniqueName="[Vendas].[Mes].[All]" allUniqueName="[Vendas].[Mes].[All]" dimensionUniqueName="[Vendas]" displayFolder="" count="2" memberValueDatatype="7" unbalanced="0">
      <fieldsUsage count="2">
        <fieldUsage x="-1"/>
        <fieldUsage x="0"/>
      </fieldsUsage>
    </cacheHierarchy>
    <cacheHierarchy uniqueName="[Vendas].[Mes2]" caption="Mes2" attribute="1" defaultMemberUniqueName="[Vendas].[Mes2].[All]" allUniqueName="[Vendas].[Mes2].[All]" dimensionUniqueName="[Vendas]" displayFolder="" count="0" memberValueDatatype="130" unbalanced="0"/>
    <cacheHierarchy uniqueName="[Measures].[__XL_Count Vendas]" caption="__XL_Count Vendas" measure="1" displayFolder="" measureGroup="Vendas" count="0" hidden="1"/>
    <cacheHierarchy uniqueName="[Measures].[__No measures defined]" caption="__No measures defined" measure="1" displayFolder="" count="0" hidden="1"/>
    <cacheHierarchy uniqueName="[Measures].[Soma de Faturamento_liquido]" caption="Soma de Faturamento_liquido" measure="1" displayFolder="" measureGroup="Vend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measure="1" name="Measures" uniqueName="[Measures]" caption="Measures"/>
    <dimension name="Vendas" uniqueName="[Vendas]" caption="Vendas"/>
  </dimensions>
  <measureGroups count="1">
    <measureGroup name="Vendas" caption="Venda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ite" refreshedDate="46307.93355775463" backgroundQuery="1" createdVersion="3" refreshedVersion="7" minRefreshableVersion="3" recordCount="0" supportSubquery="1" supportAdvancedDrill="1" xr:uid="{AD512C57-B760-41F1-AD39-B2B8F1DDE610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8">
    <cacheHierarchy uniqueName="[Vendas].[ID_Venda]" caption="ID_Venda" attribute="1" defaultMemberUniqueName="[Vendas].[ID_Venda].[All]" allUniqueName="[Vendas].[ID_Venda].[All]" dimensionUniqueName="[Vendas]" displayFolder="" count="0" memberValueDatatype="130" unbalanced="0"/>
    <cacheHierarchy uniqueName="[Vendas].[Data]" caption="Data" attribute="1" time="1" defaultMemberUniqueName="[Vendas].[Data].[All]" allUniqueName="[Vendas].[Data].[All]" dimensionUniqueName="[Vendas]" displayFolder="" count="0" memberValueDatatype="7" unbalanced="0"/>
    <cacheHierarchy uniqueName="[Vendas].[Produto]" caption="Produto" attribute="1" defaultMemberUniqueName="[Vendas].[Produto].[All]" allUniqueName="[Vendas].[Produto].[All]" dimensionUniqueName="[Vendas]" displayFolder="" count="0" memberValueDatatype="130" unbalanced="0"/>
    <cacheHierarchy uniqueName="[Vendas].[Categoria]" caption="Categoria" attribute="1" defaultMemberUniqueName="[Vendas].[Categoria].[All]" allUniqueName="[Vendas].[Categoria].[All]" dimensionUniqueName="[Vendas]" displayFolder="" count="0" memberValueDatatype="130" unbalanced="0"/>
    <cacheHierarchy uniqueName="[Vendas].[Cidade]" caption="Cidade" attribute="1" defaultMemberUniqueName="[Vendas].[Cidade].[All]" allUniqueName="[Vendas].[Cidade].[All]" dimensionUniqueName="[Vendas]" displayFolder="" count="2" memberValueDatatype="130" unbalanced="0"/>
    <cacheHierarchy uniqueName="[Vendas].[Canal]" caption="Canal" attribute="1" defaultMemberUniqueName="[Vendas].[Canal].[All]" allUniqueName="[Vendas].[Canal].[All]" dimensionUniqueName="[Vendas]" displayFolder="" count="0" memberValueDatatype="130" unbalanced="0"/>
    <cacheHierarchy uniqueName="[Vendas].[Forma_pagamento]" caption="Forma_pagamento" attribute="1" defaultMemberUniqueName="[Vendas].[Forma_pagamento].[All]" allUniqueName="[Vendas].[Forma_pagamento].[All]" dimensionUniqueName="[Vendas]" displayFolder="" count="0" memberValueDatatype="130" unbalanced="0"/>
    <cacheHierarchy uniqueName="[Vendas].[Quantidade]" caption="Quantidade" attribute="1" defaultMemberUniqueName="[Vendas].[Quantidade].[All]" allUniqueName="[Vendas].[Quantidade].[All]" dimensionUniqueName="[Vendas]" displayFolder="" count="0" memberValueDatatype="20" unbalanced="0"/>
    <cacheHierarchy uniqueName="[Vendas].[Preco_unitario]" caption="Preco_unitario" attribute="1" defaultMemberUniqueName="[Vendas].[Preco_unitario].[All]" allUniqueName="[Vendas].[Preco_unitario].[All]" dimensionUniqueName="[Vendas]" displayFolder="" count="0" memberValueDatatype="5" unbalanced="0"/>
    <cacheHierarchy uniqueName="[Vendas].[Desconto_pct]" caption="Desconto_pct" attribute="1" defaultMemberUniqueName="[Vendas].[Desconto_pct].[All]" allUniqueName="[Vendas].[Desconto_pct].[All]" dimensionUniqueName="[Vendas]" displayFolder="" count="0" memberValueDatatype="5" unbalanced="0"/>
    <cacheHierarchy uniqueName="[Vendas].[Faturamento_bruto]" caption="Faturamento_bruto" attribute="1" defaultMemberUniqueName="[Vendas].[Faturamento_bruto].[All]" allUniqueName="[Vendas].[Faturamento_bruto].[All]" dimensionUniqueName="[Vendas]" displayFolder="" count="0" memberValueDatatype="5" unbalanced="0"/>
    <cacheHierarchy uniqueName="[Vendas].[Desconto]" caption="Desconto" attribute="1" defaultMemberUniqueName="[Vendas].[Desconto].[All]" allUniqueName="[Vendas].[Desconto].[All]" dimensionUniqueName="[Vendas]" displayFolder="" count="0" memberValueDatatype="5" unbalanced="0"/>
    <cacheHierarchy uniqueName="[Vendas].[Faturamento_liquido]" caption="Faturamento_liquido" attribute="1" defaultMemberUniqueName="[Vendas].[Faturamento_liquido].[All]" allUniqueName="[Vendas].[Faturamento_liquido].[All]" dimensionUniqueName="[Vendas]" displayFolder="" count="0" memberValueDatatype="5" unbalanced="0"/>
    <cacheHierarchy uniqueName="[Vendas].[Mes]" caption="Mes" attribute="1" time="1" defaultMemberUniqueName="[Vendas].[Mes].[All]" allUniqueName="[Vendas].[Mes].[All]" dimensionUniqueName="[Vendas]" displayFolder="" count="0" memberValueDatatype="7" unbalanced="0"/>
    <cacheHierarchy uniqueName="[Vendas].[Mes2]" caption="Mes2" attribute="1" defaultMemberUniqueName="[Vendas].[Mes2].[All]" allUniqueName="[Vendas].[Mes2].[All]" dimensionUniqueName="[Vendas]" displayFolder="" count="0" memberValueDatatype="130" unbalanced="0"/>
    <cacheHierarchy uniqueName="[Measures].[__XL_Count Vendas]" caption="__XL_Count Vendas" measure="1" displayFolder="" measureGroup="Vendas" count="0" hidden="1"/>
    <cacheHierarchy uniqueName="[Measures].[__No measures defined]" caption="__No measures defined" measure="1" displayFolder="" count="0" hidden="1"/>
    <cacheHierarchy uniqueName="[Measures].[Soma de Faturamento_liquido]" caption="Soma de Faturamento_liquido" measure="1" displayFolder="" measureGroup="Vend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648308995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604B1D-4734-4A0F-874F-D1108DA90C0A}" name="Tabela dinâmica2" cacheId="712" applyNumberFormats="0" applyBorderFormats="0" applyFontFormats="0" applyPatternFormats="0" applyAlignmentFormats="0" applyWidthHeightFormats="1" dataCaption="Valores" tag="1f50c92c-0318-4622-bc54-415b68a16225" updatedVersion="7" minRefreshableVersion="3" useAutoFormatting="1" subtotalHiddenItems="1" itemPrintTitles="1" createdVersion="7" indent="0" outline="1" outlineData="1" multipleFieldFilters="0" chartFormat="4">
  <location ref="C6:G18" firstHeaderRow="1" firstDataRow="2" firstDataCol="1" rowPageCount="1" colPageCount="1"/>
  <pivotFields count="6">
    <pivotField allDrilled="1" subtotalTop="0" showAll="0" sortType="a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xis="axisPage" allDrilled="1" subtotalTop="0" showAll="0" dataSourceSort="1" defaultSubtotal="0" defaultAttributeDrillState="1"/>
  </pivotFields>
  <rowFields count="2">
    <field x="3"/>
    <field x="2"/>
  </rowFields>
  <rowItems count="11">
    <i>
      <x v="1"/>
    </i>
    <i r="1">
      <x v="3"/>
    </i>
    <i r="1">
      <x v="4"/>
    </i>
    <i r="1">
      <x v="2"/>
    </i>
    <i>
      <x/>
    </i>
    <i r="1">
      <x v="1"/>
    </i>
    <i r="1">
      <x/>
    </i>
    <i>
      <x v="2"/>
    </i>
    <i r="1">
      <x v="5"/>
    </i>
    <i r="1">
      <x v="6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1">
    <pageField fld="5" hier="4" name="[Vendas].[Cidade].&amp;[Santos]" cap="Santos"/>
  </pageFields>
  <dataFields count="1">
    <dataField name="Soma de Faturamento_liquido" fld="1" baseField="0" baseItem="0" numFmtId="164"/>
  </dataFields>
  <formats count="21">
    <format dxfId="163">
      <pivotArea outline="0" collapsedLevelsAreSubtotals="1" fieldPosition="0"/>
    </format>
    <format dxfId="164">
      <pivotArea type="origin" dataOnly="0" labelOnly="1" outline="0" fieldPosition="0"/>
    </format>
    <format dxfId="165">
      <pivotArea field="4" type="button" dataOnly="0" labelOnly="1" outline="0" axis="axisCol" fieldPosition="0"/>
    </format>
    <format dxfId="166">
      <pivotArea type="topRight" dataOnly="0" labelOnly="1" outline="0" fieldPosition="0"/>
    </format>
    <format dxfId="167">
      <pivotArea field="3" type="button" dataOnly="0" labelOnly="1" outline="0" axis="axisRow" fieldPosition="0"/>
    </format>
    <format dxfId="168">
      <pivotArea dataOnly="0" labelOnly="1" fieldPosition="0">
        <references count="1">
          <reference field="4" count="0"/>
        </references>
      </pivotArea>
    </format>
    <format dxfId="169">
      <pivotArea dataOnly="0" labelOnly="1" grandCol="1" outline="0" fieldPosition="0"/>
    </format>
    <format dxfId="170">
      <pivotArea type="origin" dataOnly="0" labelOnly="1" outline="0" fieldPosition="0"/>
    </format>
    <format dxfId="171">
      <pivotArea field="4" type="button" dataOnly="0" labelOnly="1" outline="0" axis="axisCol" fieldPosition="0"/>
    </format>
    <format dxfId="172">
      <pivotArea type="topRight" dataOnly="0" labelOnly="1" outline="0" fieldPosition="0"/>
    </format>
    <format dxfId="173">
      <pivotArea field="3" type="button" dataOnly="0" labelOnly="1" outline="0" axis="axisRow" fieldPosition="0"/>
    </format>
    <format dxfId="174">
      <pivotArea dataOnly="0" labelOnly="1" fieldPosition="0">
        <references count="1">
          <reference field="4" count="0"/>
        </references>
      </pivotArea>
    </format>
    <format dxfId="175">
      <pivotArea dataOnly="0" labelOnly="1" grandCol="1" outline="0" fieldPosition="0"/>
    </format>
    <format dxfId="176">
      <pivotArea type="origin" dataOnly="0" labelOnly="1" outline="0" fieldPosition="0"/>
    </format>
    <format dxfId="177">
      <pivotArea field="4" type="button" dataOnly="0" labelOnly="1" outline="0" axis="axisCol" fieldPosition="0"/>
    </format>
    <format dxfId="178">
      <pivotArea type="topRight" dataOnly="0" labelOnly="1" outline="0" fieldPosition="0"/>
    </format>
    <format dxfId="179">
      <pivotArea field="3" type="button" dataOnly="0" labelOnly="1" outline="0" axis="axisRow" fieldPosition="0"/>
    </format>
    <format dxfId="180">
      <pivotArea dataOnly="0" labelOnly="1" fieldPosition="0">
        <references count="1">
          <reference field="4" count="0"/>
        </references>
      </pivotArea>
    </format>
    <format dxfId="181">
      <pivotArea dataOnly="0" labelOnly="1" grandCol="1" outline="0" fieldPosition="0"/>
    </format>
    <format dxfId="182">
      <pivotArea dataOnly="0" grandRow="1" axis="axisRow" fieldPosition="0"/>
    </format>
    <format dxfId="183">
      <pivotArea dataOnly="0" grandRow="1" axis="axisRow" fieldPosition="0"/>
    </format>
  </formats>
  <chartFormats count="3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multipleItemSelectionAllowed="1" dragToData="1">
      <members count="1" level="1">
        <member name="[Vendas].[Cidade].&amp;[Sant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2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dar_de_Vendas_Dado_a_Decisao.xlsx!Vendas"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33ABDC-ED22-4869-9667-EA435D879200}" name="Tabela dinâmica1" cacheId="709" applyNumberFormats="0" applyBorderFormats="0" applyFontFormats="0" applyPatternFormats="0" applyAlignmentFormats="0" applyWidthHeightFormats="1" dataCaption="Valores" tag="9d1d7dc4-1c24-40c6-8430-86be8bc06295" updatedVersion="7" minRefreshableVersion="3" useAutoFormatting="1" subtotalHiddenItems="1" itemPrintTitles="1" createdVersion="7" indent="0" outline="1" outlineData="1" multipleFieldFilters="0" chartFormat="4">
  <location ref="I6:J19" firstHeaderRow="1" firstDataRow="1" firstDataCol="1" rowPageCount="1" colPageCount="1"/>
  <pivotFields count="3">
    <pivotField axis="axisRow" allDrilled="1" subtotalTop="0" showAll="0" sortType="a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2" hier="4" name="[Vendas].[Cidade].&amp;[Santos]" cap="Santos"/>
  </pageFields>
  <dataFields count="1">
    <dataField name="Soma de Faturamento_liquido" fld="1" baseField="0" baseItem="0" numFmtId="164"/>
  </dataFields>
  <formats count="12">
    <format dxfId="512">
      <pivotArea outline="0" collapsedLevelsAreSubtotals="1" fieldPosition="0"/>
    </format>
    <format dxfId="513">
      <pivotArea field="0" type="button" dataOnly="0" labelOnly="1" outline="0" axis="axisRow" fieldPosition="0"/>
    </format>
    <format dxfId="514">
      <pivotArea dataOnly="0" labelOnly="1" outline="0" axis="axisValues" fieldPosition="0"/>
    </format>
    <format dxfId="515">
      <pivotArea field="0" type="button" dataOnly="0" labelOnly="1" outline="0" axis="axisRow" fieldPosition="0"/>
    </format>
    <format dxfId="516">
      <pivotArea dataOnly="0" labelOnly="1" outline="0" axis="axisValues" fieldPosition="0"/>
    </format>
    <format dxfId="517">
      <pivotArea field="0" type="button" dataOnly="0" labelOnly="1" outline="0" axis="axisRow" fieldPosition="0"/>
    </format>
    <format dxfId="518">
      <pivotArea dataOnly="0" labelOnly="1" outline="0" axis="axisValues" fieldPosition="0"/>
    </format>
    <format dxfId="519">
      <pivotArea grandRow="1" outline="0" collapsedLevelsAreSubtotals="1" fieldPosition="0"/>
    </format>
    <format dxfId="520">
      <pivotArea dataOnly="0" labelOnly="1" grandRow="1" outline="0" fieldPosition="0"/>
    </format>
    <format dxfId="521">
      <pivotArea grandRow="1" outline="0" collapsedLevelsAreSubtotals="1" fieldPosition="0"/>
    </format>
    <format dxfId="522">
      <pivotArea dataOnly="0" labelOnly="1" grandRow="1" outline="0" fieldPosition="0"/>
    </format>
    <format dxfId="1">
      <pivotArea field="2" type="button" dataOnly="0" labelOnly="1" outline="0" axis="axisPage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multipleItemSelectionAllowed="1" dragToData="1">
      <members count="1" level="1">
        <member name="[Vendas].[Cidade].&amp;[Sant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dar_de_Vendas_Dado_a_Decisao.xlsx!Vendas"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554E26-E7DD-4068-8D9E-FBA0B35FC899}" name="Tabela dinâmica3" cacheId="718" applyNumberFormats="0" applyBorderFormats="0" applyFontFormats="0" applyPatternFormats="0" applyAlignmentFormats="0" applyWidthHeightFormats="1" dataCaption="Valores" tag="5a85b1b8-9c53-47e7-9c2a-90441e6d5083" updatedVersion="7" minRefreshableVersion="3" useAutoFormatting="1" subtotalHiddenItems="1" itemPrintTitles="1" createdVersion="7" indent="0" outline="1" outlineData="1" multipleFieldFilters="0" chartFormat="2">
  <location ref="I22:J26" firstHeaderRow="1" firstDataRow="1" firstDataCol="1"/>
  <pivotFields count="4">
    <pivotField allDrilled="1" subtotalTop="0" showAll="0" sortType="a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llDrilled="1" subtotalTop="0" showAll="0" dataSourceSort="1" defaultSubtotal="0" defaultAttributeDrillState="1"/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oma de Faturamento_liquido" fld="1" baseField="0" baseItem="0" numFmtId="164"/>
  </dataFields>
  <formats count="11">
    <format dxfId="491">
      <pivotArea outline="0" collapsedLevelsAreSubtotals="1" fieldPosition="0"/>
    </format>
    <format dxfId="492">
      <pivotArea field="3" type="button" dataOnly="0" labelOnly="1" outline="0" axis="axisRow" fieldPosition="0"/>
    </format>
    <format dxfId="493">
      <pivotArea dataOnly="0" labelOnly="1" outline="0" axis="axisValues" fieldPosition="0"/>
    </format>
    <format dxfId="494">
      <pivotArea field="3" type="button" dataOnly="0" labelOnly="1" outline="0" axis="axisRow" fieldPosition="0"/>
    </format>
    <format dxfId="495">
      <pivotArea dataOnly="0" labelOnly="1" outline="0" axis="axisValues" fieldPosition="0"/>
    </format>
    <format dxfId="496">
      <pivotArea grandRow="1" outline="0" collapsedLevelsAreSubtotals="1" fieldPosition="0"/>
    </format>
    <format dxfId="497">
      <pivotArea dataOnly="0" labelOnly="1" grandRow="1" outline="0" fieldPosition="0"/>
    </format>
    <format dxfId="498">
      <pivotArea grandRow="1" outline="0" collapsedLevelsAreSubtotals="1" fieldPosition="0"/>
    </format>
    <format dxfId="499">
      <pivotArea dataOnly="0" labelOnly="1" grandRow="1" outline="0" fieldPosition="0"/>
    </format>
    <format dxfId="500">
      <pivotArea grandRow="1" outline="0" collapsedLevelsAreSubtotals="1" fieldPosition="0"/>
    </format>
    <format dxfId="501">
      <pivotArea dataOnly="0" labelOnly="1" grandRow="1" outline="0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multipleItemSelectionAllowed="1" dragToData="1">
      <members count="1" level="1">
        <member name="[Vendas].[Cidade].&amp;[Sant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dar_de_Vendas_Dado_a_Decisao.xlsx!Vendas"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8CEBF7-AF09-4BF9-85FE-E65D86C09ECC}" name="Tabela dinâmica5" cacheId="715" applyNumberFormats="0" applyBorderFormats="0" applyFontFormats="0" applyPatternFormats="0" applyAlignmentFormats="0" applyWidthHeightFormats="1" dataCaption="Valores" tag="9ab0ca98-a181-46c3-9adc-c7c1bed4eca3" updatedVersion="7" minRefreshableVersion="3" useAutoFormatting="1" subtotalHiddenItems="1" itemPrintTitles="1" createdVersion="7" indent="0" outline="1" outlineData="1" multipleFieldFilters="0" chartFormat="2">
  <location ref="C24:D32" firstHeaderRow="1" firstDataRow="1" firstDataCol="1" rowPageCount="1" colPageCount="1"/>
  <pivotFields count="4">
    <pivotField allDrilled="1" subtotalTop="0" showAll="0" sortType="a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Page" allDrilled="1" subtotalTop="0" showAll="0" dataSourceSort="1" defaultSubtotal="0" defaultAttributeDrillState="1"/>
    <pivotField axis="axisRow" allDrilled="1" subtotalTop="0" showAll="0" sortType="de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2"/>
  </rowFields>
  <rowItems count="8">
    <i>
      <x v="2"/>
    </i>
    <i>
      <x v="1"/>
    </i>
    <i>
      <x v="3"/>
    </i>
    <i>
      <x v="5"/>
    </i>
    <i>
      <x/>
    </i>
    <i>
      <x v="4"/>
    </i>
    <i>
      <x v="6"/>
    </i>
    <i t="grand">
      <x/>
    </i>
  </rowItems>
  <colItems count="1">
    <i/>
  </colItems>
  <pageFields count="1">
    <pageField fld="1" hier="4" name="[Vendas].[Cidade].&amp;[Santos]" cap="Santos"/>
  </pageFields>
  <dataFields count="1">
    <dataField name="Soma de Quantidade" fld="3" baseField="0" baseItem="0"/>
  </dataFields>
  <formats count="10">
    <format dxfId="502">
      <pivotArea outline="0" collapsedLevelsAreSubtotals="1" fieldPosition="0"/>
    </format>
    <format dxfId="503">
      <pivotArea collapsedLevelsAreSubtotals="1" fieldPosition="0">
        <references count="1">
          <reference field="2" count="0"/>
        </references>
      </pivotArea>
    </format>
    <format dxfId="504">
      <pivotArea field="2" type="button" dataOnly="0" labelOnly="1" outline="0" axis="axisRow" fieldPosition="0"/>
    </format>
    <format dxfId="505">
      <pivotArea dataOnly="0" labelOnly="1" outline="0" axis="axisValues" fieldPosition="0"/>
    </format>
    <format dxfId="506">
      <pivotArea field="2" type="button" dataOnly="0" labelOnly="1" outline="0" axis="axisRow" fieldPosition="0"/>
    </format>
    <format dxfId="507">
      <pivotArea dataOnly="0" labelOnly="1" outline="0" axis="axisValues" fieldPosition="0"/>
    </format>
    <format dxfId="508">
      <pivotArea grandRow="1" outline="0" collapsedLevelsAreSubtotals="1" fieldPosition="0"/>
    </format>
    <format dxfId="509">
      <pivotArea dataOnly="0" labelOnly="1" grandRow="1" outline="0" fieldPosition="0"/>
    </format>
    <format dxfId="510">
      <pivotArea grandRow="1" outline="0" collapsedLevelsAreSubtotals="1" fieldPosition="0"/>
    </format>
    <format dxfId="511">
      <pivotArea dataOnly="0" labelOnly="1" grandRow="1" outline="0" fieldPosition="0"/>
    </format>
  </formats>
  <pivotHierarchies count="19">
    <pivotHierarchy dragToData="1"/>
    <pivotHierarchy dragToData="1"/>
    <pivotHierarchy dragToData="1"/>
    <pivotHierarchy dragToData="1"/>
    <pivotHierarchy multipleItemSelectionAllowed="1" dragToData="1">
      <members count="1" level="1">
        <member name="[Vendas].[Cidade].&amp;[Santo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adar_de_Vendas_Dado_a_Decisao.xlsx!Vendas"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idade" xr10:uid="{6CC6E33A-921F-4853-A9A3-0D421CCCF464}" sourceName="[Vendas].[Cidade]">
  <pivotTables>
    <pivotTable tabId="4" name="Tabela dinâmica1"/>
    <pivotTable tabId="4" name="Tabela dinâmica2"/>
    <pivotTable tabId="4" name="Tabela dinâmica5"/>
    <pivotTable tabId="4" name="Tabela dinâmica3"/>
  </pivotTables>
  <data>
    <olap pivotCacheId="648308995">
      <levels count="2">
        <level uniqueName="[Vendas].[Cidade].[(All)]" sourceCaption="(All)" count="0"/>
        <level uniqueName="[Vendas].[Cidade].[Cidade]" sourceCaption="Cidade" count="5">
          <ranges>
            <range startItem="0">
              <i n="[Vendas].[Cidade].&amp;[Campinas]" c="Campinas"/>
              <i n="[Vendas].[Cidade].&amp;[Curitiba]" c="Curitiba"/>
              <i n="[Vendas].[Cidade].&amp;[Rio de Janeiro]" c="Rio de Janeiro"/>
              <i n="[Vendas].[Cidade].&amp;[Santos]" c="Santos"/>
              <i n="[Vendas].[Cidade].&amp;[São Paulo]" c="São Paulo"/>
            </range>
          </ranges>
        </level>
      </levels>
      <selections count="1">
        <selection n="[Vendas].[Cidade].&amp;[Santos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dade" xr10:uid="{F4E7EE04-478F-4A23-8FB6-F8916B4EEA2E}" cache="SegmentaçãodeDados_Cidade" caption="Cidade" level="1" style="SlicerStyleLight1 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dade 1" xr10:uid="{18AF5D4C-5F99-4DEB-88FE-CC5D63A28B1F}" cache="SegmentaçãodeDados_Cidade" caption="Cidade" level="1" style="SlicerStyleLight1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das" displayName="Vendas" ref="A4:O365" totalsRowCount="1">
  <autoFilter ref="A4:O364" xr:uid="{00000000-0009-0000-0100-000001000000}"/>
  <sortState xmlns:xlrd2="http://schemas.microsoft.com/office/spreadsheetml/2017/richdata2" ref="A5:O364">
    <sortCondition ref="B4:B364"/>
  </sortState>
  <tableColumns count="15">
    <tableColumn id="1" xr3:uid="{00000000-0010-0000-0000-000001000000}" name="ID_Venda"/>
    <tableColumn id="2" xr3:uid="{00000000-0010-0000-0000-000002000000}" name="Data"/>
    <tableColumn id="3" xr3:uid="{00000000-0010-0000-0000-000003000000}" name="Produto"/>
    <tableColumn id="4" xr3:uid="{00000000-0010-0000-0000-000004000000}" name="Categoria"/>
    <tableColumn id="5" xr3:uid="{00000000-0010-0000-0000-000005000000}" name="Cidade" totalsRowDxfId="539"/>
    <tableColumn id="6" xr3:uid="{00000000-0010-0000-0000-000006000000}" name="Canal" totalsRowDxfId="538"/>
    <tableColumn id="7" xr3:uid="{00000000-0010-0000-0000-000007000000}" name="Forma_pagamento" totalsRowDxfId="537"/>
    <tableColumn id="8" xr3:uid="{00000000-0010-0000-0000-000008000000}" name="Quantidade" totalsRowFunction="custom" totalsRowDxfId="536">
      <totalsRowFormula>SUM(H5:H364)</totalsRowFormula>
    </tableColumn>
    <tableColumn id="9" xr3:uid="{00000000-0010-0000-0000-000009000000}" name="Preco_unitario" totalsRowFunction="custom" dataDxfId="535" totalsRowDxfId="534">
      <totalsRowFormula>SUM(I5:I364)</totalsRowFormula>
    </tableColumn>
    <tableColumn id="10" xr3:uid="{00000000-0010-0000-0000-00000A000000}" name="Desconto_pct" totalsRowDxfId="533"/>
    <tableColumn id="11" xr3:uid="{00000000-0010-0000-0000-00000B000000}" name="Faturamento_bruto" totalsRowLabel="R$ 27.605,70" dataDxfId="532" totalsRowDxfId="531">
      <calculatedColumnFormula>H5*I5</calculatedColumnFormula>
    </tableColumn>
    <tableColumn id="12" xr3:uid="{00000000-0010-0000-0000-00000C000000}" name="Desconto" totalsRowFunction="custom" dataDxfId="530" totalsRowDxfId="529">
      <calculatedColumnFormula>K5*J5</calculatedColumnFormula>
      <totalsRowFormula>SUM(L5:L364)</totalsRowFormula>
    </tableColumn>
    <tableColumn id="13" xr3:uid="{00000000-0010-0000-0000-00000D000000}" name="Faturamento_liquido" totalsRowLabel="R$ 25.825,31" dataDxfId="528" totalsRowDxfId="527">
      <calculatedColumnFormula>K5-L5</calculatedColumnFormula>
    </tableColumn>
    <tableColumn id="15" xr3:uid="{65646CC6-9DBF-4618-AD6F-942AFE54B682}" name="Mes" dataDxfId="526" totalsRowDxfId="525">
      <calculatedColumnFormula>VLOOKUP(Vendas[[#This Row],[Mes2]],Planilha1!$J:$K,2,FALSE)</calculatedColumnFormula>
    </tableColumn>
    <tableColumn id="14" xr3:uid="{00000000-0010-0000-0000-00000E000000}" name="Mes2" dataDxfId="524" totalsRowDxfId="5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B39"/>
  <sheetViews>
    <sheetView showGridLines="0" workbookViewId="0">
      <pane ySplit="3" topLeftCell="A25" activePane="bottomLeft" state="frozen"/>
      <selection pane="bottomLeft" activeCell="B45" sqref="B45"/>
    </sheetView>
  </sheetViews>
  <sheetFormatPr defaultRowHeight="14.25"/>
  <cols>
    <col min="1" max="1" width="23" customWidth="1"/>
    <col min="2" max="2" width="95" customWidth="1"/>
  </cols>
  <sheetData>
    <row r="1" spans="1:2">
      <c r="A1" s="1"/>
      <c r="B1" s="1"/>
    </row>
    <row r="2" spans="1:2" ht="20.25">
      <c r="A2" s="2" t="s">
        <v>0</v>
      </c>
      <c r="B2" s="1"/>
    </row>
    <row r="3" spans="1:2">
      <c r="A3" s="3" t="s">
        <v>1</v>
      </c>
      <c r="B3" s="1"/>
    </row>
    <row r="4" spans="1:2">
      <c r="A4" s="1"/>
      <c r="B4" s="1"/>
    </row>
    <row r="5" spans="1:2" ht="23.1" customHeight="1">
      <c r="A5" s="4" t="s">
        <v>2</v>
      </c>
      <c r="B5" s="4"/>
    </row>
    <row r="6" spans="1:2" ht="36" customHeight="1">
      <c r="A6" s="5" t="s">
        <v>3</v>
      </c>
      <c r="B6" s="6" t="s">
        <v>4</v>
      </c>
    </row>
    <row r="7" spans="1:2" ht="36" customHeight="1">
      <c r="A7" s="5" t="s">
        <v>5</v>
      </c>
      <c r="B7" s="6" t="s">
        <v>6</v>
      </c>
    </row>
    <row r="8" spans="1:2" ht="36" customHeight="1">
      <c r="A8" s="5" t="s">
        <v>7</v>
      </c>
      <c r="B8" s="6" t="s">
        <v>8</v>
      </c>
    </row>
    <row r="9" spans="1:2">
      <c r="A9" s="1"/>
      <c r="B9" s="1"/>
    </row>
    <row r="10" spans="1:2" ht="23.1" customHeight="1">
      <c r="A10" s="4" t="s">
        <v>9</v>
      </c>
      <c r="B10" s="4"/>
    </row>
    <row r="11" spans="1:2" ht="35.1" customHeight="1">
      <c r="A11" s="5" t="s">
        <v>10</v>
      </c>
      <c r="B11" s="6" t="s">
        <v>11</v>
      </c>
    </row>
    <row r="12" spans="1:2" ht="35.1" customHeight="1">
      <c r="A12" s="5" t="s">
        <v>12</v>
      </c>
      <c r="B12" s="6" t="s">
        <v>13</v>
      </c>
    </row>
    <row r="13" spans="1:2" ht="35.1" customHeight="1">
      <c r="A13" s="7" t="s">
        <v>14</v>
      </c>
      <c r="B13" s="8" t="s">
        <v>15</v>
      </c>
    </row>
    <row r="14" spans="1:2" ht="35.1" customHeight="1">
      <c r="A14" s="7" t="s">
        <v>16</v>
      </c>
      <c r="B14" s="8" t="s">
        <v>17</v>
      </c>
    </row>
    <row r="15" spans="1:2" ht="35.1" customHeight="1">
      <c r="A15" s="7" t="s">
        <v>18</v>
      </c>
      <c r="B15" s="8" t="s">
        <v>19</v>
      </c>
    </row>
    <row r="16" spans="1:2" ht="35.1" customHeight="1">
      <c r="A16" s="7" t="s">
        <v>20</v>
      </c>
      <c r="B16" s="8" t="s">
        <v>21</v>
      </c>
    </row>
    <row r="17" spans="1:2" ht="35.1" customHeight="1">
      <c r="A17" s="5" t="s">
        <v>22</v>
      </c>
      <c r="B17" s="6" t="s">
        <v>23</v>
      </c>
    </row>
    <row r="18" spans="1:2" ht="35.1" customHeight="1">
      <c r="A18" s="5" t="s">
        <v>24</v>
      </c>
      <c r="B18" s="6" t="s">
        <v>25</v>
      </c>
    </row>
    <row r="19" spans="1:2" ht="35.1" customHeight="1">
      <c r="A19" s="5" t="s">
        <v>26</v>
      </c>
      <c r="B19" s="6" t="s">
        <v>27</v>
      </c>
    </row>
    <row r="20" spans="1:2">
      <c r="A20" s="1"/>
      <c r="B20" s="1"/>
    </row>
    <row r="21" spans="1:2" ht="23.1" customHeight="1">
      <c r="A21" s="4" t="s">
        <v>28</v>
      </c>
      <c r="B21" s="4"/>
    </row>
    <row r="22" spans="1:2" ht="30.95" customHeight="1">
      <c r="A22" s="5" t="s">
        <v>29</v>
      </c>
      <c r="B22" s="6" t="s">
        <v>30</v>
      </c>
    </row>
    <row r="23" spans="1:2" ht="30.95" customHeight="1">
      <c r="A23" s="5" t="s">
        <v>31</v>
      </c>
      <c r="B23" s="6" t="s">
        <v>32</v>
      </c>
    </row>
    <row r="24" spans="1:2" ht="30.95" customHeight="1">
      <c r="A24" s="5" t="s">
        <v>33</v>
      </c>
      <c r="B24" s="6" t="s">
        <v>34</v>
      </c>
    </row>
    <row r="25" spans="1:2" ht="30.95" customHeight="1">
      <c r="A25" s="5" t="s">
        <v>35</v>
      </c>
      <c r="B25" s="6" t="s">
        <v>36</v>
      </c>
    </row>
    <row r="26" spans="1:2" ht="30.95" customHeight="1">
      <c r="A26" s="5" t="s">
        <v>37</v>
      </c>
      <c r="B26" s="6" t="s">
        <v>38</v>
      </c>
    </row>
    <row r="27" spans="1:2" ht="30.95" customHeight="1">
      <c r="A27" s="5" t="s">
        <v>39</v>
      </c>
      <c r="B27" s="6" t="s">
        <v>40</v>
      </c>
    </row>
    <row r="28" spans="1:2">
      <c r="A28" s="1"/>
      <c r="B28" s="1"/>
    </row>
    <row r="29" spans="1:2" ht="23.1" customHeight="1">
      <c r="A29" s="4" t="s">
        <v>41</v>
      </c>
      <c r="B29" s="4"/>
    </row>
    <row r="30" spans="1:2" ht="30.95" customHeight="1">
      <c r="A30" s="5" t="s">
        <v>42</v>
      </c>
      <c r="B30" s="6" t="s">
        <v>43</v>
      </c>
    </row>
    <row r="31" spans="1:2" ht="30.95" customHeight="1">
      <c r="A31" s="5" t="s">
        <v>44</v>
      </c>
      <c r="B31" s="6" t="s">
        <v>45</v>
      </c>
    </row>
    <row r="32" spans="1:2" ht="30.95" customHeight="1">
      <c r="A32" s="5" t="s">
        <v>46</v>
      </c>
      <c r="B32" s="6" t="s">
        <v>47</v>
      </c>
    </row>
    <row r="33" spans="1:2" ht="30.95" customHeight="1">
      <c r="A33" s="5" t="s">
        <v>48</v>
      </c>
      <c r="B33" s="6" t="s">
        <v>49</v>
      </c>
    </row>
    <row r="34" spans="1:2" ht="30.95" customHeight="1">
      <c r="A34" s="5" t="s">
        <v>50</v>
      </c>
      <c r="B34" s="6" t="s">
        <v>51</v>
      </c>
    </row>
    <row r="35" spans="1:2" ht="30.95" customHeight="1">
      <c r="A35" s="5" t="s">
        <v>52</v>
      </c>
      <c r="B35" s="6" t="s">
        <v>53</v>
      </c>
    </row>
    <row r="36" spans="1:2">
      <c r="A36" s="1"/>
      <c r="B36" s="1"/>
    </row>
    <row r="37" spans="1:2" ht="35.1" customHeight="1">
      <c r="A37" s="4" t="s">
        <v>54</v>
      </c>
      <c r="B37" s="9" t="s">
        <v>55</v>
      </c>
    </row>
    <row r="38" spans="1:2" ht="35.1" customHeight="1">
      <c r="A38" s="5" t="s">
        <v>56</v>
      </c>
      <c r="B38" s="6" t="s">
        <v>57</v>
      </c>
    </row>
    <row r="39" spans="1:2" ht="35.1" customHeight="1">
      <c r="A39" s="5" t="s">
        <v>58</v>
      </c>
      <c r="B39" s="6" t="s">
        <v>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Q366"/>
  <sheetViews>
    <sheetView showGridLines="0" topLeftCell="E1" workbookViewId="0">
      <pane ySplit="4" topLeftCell="A357" activePane="bottomLeft" state="frozen"/>
      <selection pane="bottomLeft" activeCell="M365" sqref="M365"/>
    </sheetView>
  </sheetViews>
  <sheetFormatPr defaultRowHeight="14.25"/>
  <cols>
    <col min="1" max="1" width="18" customWidth="1"/>
    <col min="2" max="2" width="13" customWidth="1"/>
    <col min="3" max="3" width="28" customWidth="1"/>
    <col min="4" max="4" width="17" customWidth="1"/>
    <col min="5" max="5" width="20" customWidth="1"/>
    <col min="6" max="7" width="22" customWidth="1"/>
    <col min="8" max="8" width="13" customWidth="1"/>
    <col min="9" max="13" width="20" customWidth="1"/>
    <col min="14" max="14" width="13" customWidth="1"/>
  </cols>
  <sheetData>
    <row r="1" spans="1:15" ht="18">
      <c r="A1" s="19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5" ht="24" customHeight="1">
      <c r="A2" s="62" t="s">
        <v>81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5" ht="33.950000000000003" customHeight="1">
      <c r="A4" s="10" t="s">
        <v>82</v>
      </c>
      <c r="B4" s="10" t="s">
        <v>83</v>
      </c>
      <c r="C4" s="10" t="s">
        <v>84</v>
      </c>
      <c r="D4" s="10" t="s">
        <v>85</v>
      </c>
      <c r="E4" s="10" t="s">
        <v>86</v>
      </c>
      <c r="F4" s="10" t="s">
        <v>87</v>
      </c>
      <c r="G4" s="10" t="s">
        <v>88</v>
      </c>
      <c r="H4" s="10" t="s">
        <v>89</v>
      </c>
      <c r="I4" s="20" t="s">
        <v>90</v>
      </c>
      <c r="J4" s="10" t="s">
        <v>91</v>
      </c>
      <c r="K4" s="10" t="s">
        <v>92</v>
      </c>
      <c r="L4" s="10" t="s">
        <v>93</v>
      </c>
      <c r="M4" s="10" t="s">
        <v>94</v>
      </c>
      <c r="N4" s="35" t="s">
        <v>95</v>
      </c>
      <c r="O4" s="25" t="s">
        <v>500</v>
      </c>
    </row>
    <row r="5" spans="1:15">
      <c r="A5" s="13" t="s">
        <v>142</v>
      </c>
      <c r="B5" s="14">
        <v>45658</v>
      </c>
      <c r="C5" s="1" t="s">
        <v>111</v>
      </c>
      <c r="D5" s="1" t="s">
        <v>104</v>
      </c>
      <c r="E5" s="1" t="s">
        <v>99</v>
      </c>
      <c r="F5" s="1" t="s">
        <v>106</v>
      </c>
      <c r="G5" s="1" t="s">
        <v>143</v>
      </c>
      <c r="H5" s="15">
        <v>1</v>
      </c>
      <c r="I5" s="16">
        <v>28.9</v>
      </c>
      <c r="J5" s="17">
        <v>0.05</v>
      </c>
      <c r="K5" s="18">
        <f t="shared" ref="K5:K68" si="0">H5*I5</f>
        <v>28.9</v>
      </c>
      <c r="L5" s="18">
        <f t="shared" ref="L5:L68" si="1">K5*J5</f>
        <v>1.4450000000000001</v>
      </c>
      <c r="M5" s="18">
        <f t="shared" ref="M5:M68" si="2">K5-L5</f>
        <v>27.454999999999998</v>
      </c>
      <c r="N5" s="24" t="e">
        <f>VLOOKUP(Vendas[[#This Row],[Mes2]],Planilha1!$J:$K,2,FALSE)</f>
        <v>#N/A</v>
      </c>
      <c r="O5" s="29" t="s">
        <v>481</v>
      </c>
    </row>
    <row r="6" spans="1:15">
      <c r="A6" s="13" t="s">
        <v>144</v>
      </c>
      <c r="B6" s="14">
        <v>45658</v>
      </c>
      <c r="C6" s="1" t="s">
        <v>121</v>
      </c>
      <c r="D6" s="1" t="s">
        <v>98</v>
      </c>
      <c r="E6" s="1" t="s">
        <v>109</v>
      </c>
      <c r="F6" s="1" t="s">
        <v>128</v>
      </c>
      <c r="G6" s="1" t="s">
        <v>107</v>
      </c>
      <c r="H6" s="15">
        <v>1</v>
      </c>
      <c r="I6" s="16">
        <v>12.9</v>
      </c>
      <c r="J6" s="17">
        <v>0.05</v>
      </c>
      <c r="K6" s="18">
        <f t="shared" si="0"/>
        <v>12.9</v>
      </c>
      <c r="L6" s="18">
        <f t="shared" si="1"/>
        <v>0.64500000000000002</v>
      </c>
      <c r="M6" s="18">
        <f t="shared" si="2"/>
        <v>12.255000000000001</v>
      </c>
      <c r="N6" s="24" t="e">
        <f>VLOOKUP(Vendas[[#This Row],[Mes2]],Planilha1!$J:$K,2,FALSE)</f>
        <v>#N/A</v>
      </c>
      <c r="O6" s="26" t="s">
        <v>481</v>
      </c>
    </row>
    <row r="7" spans="1:15">
      <c r="A7" s="13" t="s">
        <v>117</v>
      </c>
      <c r="B7" s="14">
        <v>45659</v>
      </c>
      <c r="C7" s="1" t="s">
        <v>118</v>
      </c>
      <c r="D7" s="1" t="s">
        <v>98</v>
      </c>
      <c r="E7" s="1" t="s">
        <v>105</v>
      </c>
      <c r="F7" s="1" t="s">
        <v>106</v>
      </c>
      <c r="G7" s="1" t="s">
        <v>116</v>
      </c>
      <c r="H7" s="15">
        <v>2</v>
      </c>
      <c r="I7" s="16">
        <v>89.9</v>
      </c>
      <c r="J7" s="17">
        <v>0.1</v>
      </c>
      <c r="K7" s="18">
        <f t="shared" si="0"/>
        <v>179.8</v>
      </c>
      <c r="L7" s="18">
        <f t="shared" si="1"/>
        <v>17.98</v>
      </c>
      <c r="M7" s="18">
        <f t="shared" si="2"/>
        <v>161.82000000000002</v>
      </c>
      <c r="N7" s="24" t="e">
        <f>VLOOKUP(Vendas[[#This Row],[Mes2]],Planilha1!$J:$K,2,FALSE)</f>
        <v>#N/A</v>
      </c>
      <c r="O7" s="26" t="s">
        <v>481</v>
      </c>
    </row>
    <row r="8" spans="1:15">
      <c r="A8" s="13" t="s">
        <v>119</v>
      </c>
      <c r="B8" s="14">
        <v>45659</v>
      </c>
      <c r="C8" s="1" t="s">
        <v>103</v>
      </c>
      <c r="D8" s="1" t="s">
        <v>104</v>
      </c>
      <c r="E8" s="1" t="s">
        <v>99</v>
      </c>
      <c r="F8" s="1" t="s">
        <v>100</v>
      </c>
      <c r="G8" s="1" t="s">
        <v>116</v>
      </c>
      <c r="H8" s="15">
        <v>2</v>
      </c>
      <c r="I8" s="16">
        <v>39.9</v>
      </c>
      <c r="J8" s="17">
        <v>0.1</v>
      </c>
      <c r="K8" s="18">
        <f t="shared" si="0"/>
        <v>79.8</v>
      </c>
      <c r="L8" s="18">
        <f t="shared" si="1"/>
        <v>7.98</v>
      </c>
      <c r="M8" s="18">
        <f t="shared" si="2"/>
        <v>71.819999999999993</v>
      </c>
      <c r="N8" s="24" t="e">
        <f>VLOOKUP(Vendas[[#This Row],[Mes2]],Planilha1!$J:$K,2,FALSE)</f>
        <v>#N/A</v>
      </c>
      <c r="O8" s="26" t="s">
        <v>481</v>
      </c>
    </row>
    <row r="9" spans="1:15">
      <c r="A9" s="13" t="s">
        <v>147</v>
      </c>
      <c r="B9" s="14">
        <v>45659</v>
      </c>
      <c r="C9" s="1" t="s">
        <v>123</v>
      </c>
      <c r="D9" s="1" t="s">
        <v>114</v>
      </c>
      <c r="E9" s="1" t="s">
        <v>105</v>
      </c>
      <c r="F9" s="1" t="s">
        <v>128</v>
      </c>
      <c r="G9" s="1" t="s">
        <v>107</v>
      </c>
      <c r="H9" s="15">
        <v>1</v>
      </c>
      <c r="I9" s="16">
        <v>74.900000000000006</v>
      </c>
      <c r="J9" s="17">
        <v>0</v>
      </c>
      <c r="K9" s="18">
        <f t="shared" si="0"/>
        <v>74.900000000000006</v>
      </c>
      <c r="L9" s="18">
        <f t="shared" si="1"/>
        <v>0</v>
      </c>
      <c r="M9" s="18">
        <f t="shared" si="2"/>
        <v>74.900000000000006</v>
      </c>
      <c r="N9" s="24" t="e">
        <f>VLOOKUP(Vendas[[#This Row],[Mes2]],Planilha1!$J:$K,2,FALSE)</f>
        <v>#N/A</v>
      </c>
      <c r="O9" s="26" t="s">
        <v>481</v>
      </c>
    </row>
    <row r="10" spans="1:15">
      <c r="A10" s="13" t="s">
        <v>112</v>
      </c>
      <c r="B10" s="14">
        <v>45664</v>
      </c>
      <c r="C10" s="1" t="s">
        <v>113</v>
      </c>
      <c r="D10" s="1" t="s">
        <v>114</v>
      </c>
      <c r="E10" s="1" t="s">
        <v>115</v>
      </c>
      <c r="F10" s="1" t="s">
        <v>100</v>
      </c>
      <c r="G10" s="1" t="s">
        <v>116</v>
      </c>
      <c r="H10" s="15">
        <v>3</v>
      </c>
      <c r="I10" s="16">
        <v>18.899999999999999</v>
      </c>
      <c r="J10" s="17">
        <v>0</v>
      </c>
      <c r="K10" s="18">
        <f t="shared" si="0"/>
        <v>56.699999999999996</v>
      </c>
      <c r="L10" s="18">
        <f t="shared" si="1"/>
        <v>0</v>
      </c>
      <c r="M10" s="18">
        <f t="shared" si="2"/>
        <v>56.699999999999996</v>
      </c>
      <c r="N10" s="24" t="e">
        <f>VLOOKUP(Vendas[[#This Row],[Mes2]],Planilha1!$J:$K,2,FALSE)</f>
        <v>#N/A</v>
      </c>
      <c r="O10" s="26" t="s">
        <v>481</v>
      </c>
    </row>
    <row r="11" spans="1:15">
      <c r="A11" s="13" t="s">
        <v>127</v>
      </c>
      <c r="B11" s="14">
        <v>45664</v>
      </c>
      <c r="C11" s="1" t="s">
        <v>113</v>
      </c>
      <c r="D11" s="1" t="s">
        <v>114</v>
      </c>
      <c r="E11" s="1" t="s">
        <v>99</v>
      </c>
      <c r="F11" s="1" t="s">
        <v>128</v>
      </c>
      <c r="G11" s="1" t="s">
        <v>116</v>
      </c>
      <c r="H11" s="15">
        <v>1</v>
      </c>
      <c r="I11" s="16">
        <v>18.899999999999999</v>
      </c>
      <c r="J11" s="17">
        <v>0.15</v>
      </c>
      <c r="K11" s="18">
        <f t="shared" si="0"/>
        <v>18.899999999999999</v>
      </c>
      <c r="L11" s="18">
        <f t="shared" si="1"/>
        <v>2.8349999999999995</v>
      </c>
      <c r="M11" s="18">
        <f t="shared" si="2"/>
        <v>16.064999999999998</v>
      </c>
      <c r="N11" s="24" t="e">
        <f>VLOOKUP(Vendas[[#This Row],[Mes2]],Planilha1!$J:$K,2,FALSE)</f>
        <v>#N/A</v>
      </c>
      <c r="O11" s="26" t="s">
        <v>481</v>
      </c>
    </row>
    <row r="12" spans="1:15">
      <c r="A12" s="13" t="s">
        <v>110</v>
      </c>
      <c r="B12" s="14">
        <v>45665</v>
      </c>
      <c r="C12" s="1" t="s">
        <v>111</v>
      </c>
      <c r="D12" s="1" t="s">
        <v>104</v>
      </c>
      <c r="E12" s="1" t="s">
        <v>105</v>
      </c>
      <c r="F12" s="1" t="s">
        <v>106</v>
      </c>
      <c r="G12" s="1" t="s">
        <v>101</v>
      </c>
      <c r="H12" s="15">
        <v>3</v>
      </c>
      <c r="I12" s="16">
        <v>28.9</v>
      </c>
      <c r="J12" s="17">
        <v>0</v>
      </c>
      <c r="K12" s="18">
        <f t="shared" si="0"/>
        <v>86.699999999999989</v>
      </c>
      <c r="L12" s="18">
        <f t="shared" si="1"/>
        <v>0</v>
      </c>
      <c r="M12" s="18">
        <f t="shared" si="2"/>
        <v>86.699999999999989</v>
      </c>
      <c r="N12" s="24" t="e">
        <f>VLOOKUP(Vendas[[#This Row],[Mes2]],Planilha1!$J:$K,2,FALSE)</f>
        <v>#N/A</v>
      </c>
      <c r="O12" s="26" t="s">
        <v>481</v>
      </c>
    </row>
    <row r="13" spans="1:15">
      <c r="A13" s="13" t="s">
        <v>108</v>
      </c>
      <c r="B13" s="14">
        <v>45668</v>
      </c>
      <c r="C13" s="1" t="s">
        <v>103</v>
      </c>
      <c r="D13" s="1" t="s">
        <v>104</v>
      </c>
      <c r="E13" s="1" t="s">
        <v>109</v>
      </c>
      <c r="F13" s="1" t="s">
        <v>106</v>
      </c>
      <c r="G13" s="1" t="s">
        <v>107</v>
      </c>
      <c r="H13" s="15">
        <v>3</v>
      </c>
      <c r="I13" s="16">
        <v>39.9</v>
      </c>
      <c r="J13" s="17">
        <v>0.1</v>
      </c>
      <c r="K13" s="18">
        <f t="shared" si="0"/>
        <v>119.69999999999999</v>
      </c>
      <c r="L13" s="18">
        <f t="shared" si="1"/>
        <v>11.969999999999999</v>
      </c>
      <c r="M13" s="18">
        <f t="shared" si="2"/>
        <v>107.72999999999999</v>
      </c>
      <c r="N13" s="24" t="e">
        <f>VLOOKUP(Vendas[[#This Row],[Mes2]],Planilha1!$J:$K,2,FALSE)</f>
        <v>#N/A</v>
      </c>
      <c r="O13" s="26" t="s">
        <v>481</v>
      </c>
    </row>
    <row r="14" spans="1:15">
      <c r="A14" s="13" t="s">
        <v>129</v>
      </c>
      <c r="B14" s="14">
        <v>45669</v>
      </c>
      <c r="C14" s="1" t="s">
        <v>118</v>
      </c>
      <c r="D14" s="1" t="s">
        <v>98</v>
      </c>
      <c r="E14" s="1" t="s">
        <v>99</v>
      </c>
      <c r="F14" s="1" t="s">
        <v>100</v>
      </c>
      <c r="G14" s="1" t="s">
        <v>101</v>
      </c>
      <c r="H14" s="15">
        <v>1</v>
      </c>
      <c r="I14" s="16">
        <v>89.9</v>
      </c>
      <c r="J14" s="17">
        <v>0</v>
      </c>
      <c r="K14" s="18">
        <f t="shared" si="0"/>
        <v>89.9</v>
      </c>
      <c r="L14" s="18">
        <f t="shared" si="1"/>
        <v>0</v>
      </c>
      <c r="M14" s="18">
        <f t="shared" si="2"/>
        <v>89.9</v>
      </c>
      <c r="N14" s="24" t="e">
        <f>VLOOKUP(Vendas[[#This Row],[Mes2]],Planilha1!$J:$K,2,FALSE)</f>
        <v>#N/A</v>
      </c>
      <c r="O14" s="26" t="s">
        <v>481</v>
      </c>
    </row>
    <row r="15" spans="1:15">
      <c r="A15" s="13" t="s">
        <v>139</v>
      </c>
      <c r="B15" s="14">
        <v>45670</v>
      </c>
      <c r="C15" s="1" t="s">
        <v>103</v>
      </c>
      <c r="D15" s="1" t="s">
        <v>104</v>
      </c>
      <c r="E15" s="1" t="s">
        <v>115</v>
      </c>
      <c r="F15" s="1" t="s">
        <v>106</v>
      </c>
      <c r="G15" s="1" t="s">
        <v>116</v>
      </c>
      <c r="H15" s="15">
        <v>1</v>
      </c>
      <c r="I15" s="16">
        <v>39.9</v>
      </c>
      <c r="J15" s="17">
        <v>0.05</v>
      </c>
      <c r="K15" s="18">
        <f t="shared" si="0"/>
        <v>39.9</v>
      </c>
      <c r="L15" s="18">
        <f t="shared" si="1"/>
        <v>1.9950000000000001</v>
      </c>
      <c r="M15" s="18">
        <f t="shared" si="2"/>
        <v>37.905000000000001</v>
      </c>
      <c r="N15" s="24" t="e">
        <f>VLOOKUP(Vendas[[#This Row],[Mes2]],Planilha1!$J:$K,2,FALSE)</f>
        <v>#N/A</v>
      </c>
      <c r="O15" s="26" t="s">
        <v>481</v>
      </c>
    </row>
    <row r="16" spans="1:15">
      <c r="A16" s="13" t="s">
        <v>146</v>
      </c>
      <c r="B16" s="14">
        <v>45671</v>
      </c>
      <c r="C16" s="1" t="s">
        <v>111</v>
      </c>
      <c r="D16" s="1" t="s">
        <v>104</v>
      </c>
      <c r="E16" s="1" t="s">
        <v>126</v>
      </c>
      <c r="F16" s="1" t="s">
        <v>100</v>
      </c>
      <c r="G16" s="1" t="s">
        <v>143</v>
      </c>
      <c r="H16" s="15">
        <v>2</v>
      </c>
      <c r="I16" s="16">
        <v>28.9</v>
      </c>
      <c r="J16" s="17">
        <v>0.15</v>
      </c>
      <c r="K16" s="18">
        <f t="shared" si="0"/>
        <v>57.8</v>
      </c>
      <c r="L16" s="18">
        <f t="shared" si="1"/>
        <v>8.67</v>
      </c>
      <c r="M16" s="18">
        <f t="shared" si="2"/>
        <v>49.129999999999995</v>
      </c>
      <c r="N16" s="24" t="e">
        <f>VLOOKUP(Vendas[[#This Row],[Mes2]],Planilha1!$J:$K,2,FALSE)</f>
        <v>#N/A</v>
      </c>
      <c r="O16" s="26" t="s">
        <v>481</v>
      </c>
    </row>
    <row r="17" spans="1:15">
      <c r="A17" s="13" t="s">
        <v>96</v>
      </c>
      <c r="B17" s="14">
        <v>45672</v>
      </c>
      <c r="C17" s="1" t="s">
        <v>97</v>
      </c>
      <c r="D17" s="1" t="s">
        <v>98</v>
      </c>
      <c r="E17" s="1" t="s">
        <v>99</v>
      </c>
      <c r="F17" s="1" t="s">
        <v>100</v>
      </c>
      <c r="G17" s="1" t="s">
        <v>101</v>
      </c>
      <c r="H17" s="15">
        <v>2</v>
      </c>
      <c r="I17" s="16">
        <v>34.9</v>
      </c>
      <c r="J17" s="17">
        <v>0.05</v>
      </c>
      <c r="K17" s="18">
        <f t="shared" si="0"/>
        <v>69.8</v>
      </c>
      <c r="L17" s="18">
        <f t="shared" si="1"/>
        <v>3.49</v>
      </c>
      <c r="M17" s="18">
        <f t="shared" si="2"/>
        <v>66.31</v>
      </c>
      <c r="N17" s="24" t="e">
        <f>VLOOKUP(Vendas[[#This Row],[Mes2]],Planilha1!$J:$K,2,FALSE)</f>
        <v>#N/A</v>
      </c>
      <c r="O17" s="26" t="s">
        <v>481</v>
      </c>
    </row>
    <row r="18" spans="1:15">
      <c r="A18" s="13" t="s">
        <v>133</v>
      </c>
      <c r="B18" s="14">
        <v>45672</v>
      </c>
      <c r="C18" s="1" t="s">
        <v>134</v>
      </c>
      <c r="D18" s="1" t="s">
        <v>104</v>
      </c>
      <c r="E18" s="1" t="s">
        <v>115</v>
      </c>
      <c r="F18" s="1" t="s">
        <v>128</v>
      </c>
      <c r="G18" s="1" t="s">
        <v>107</v>
      </c>
      <c r="H18" s="15">
        <v>3</v>
      </c>
      <c r="I18" s="16">
        <v>79.900000000000006</v>
      </c>
      <c r="J18" s="17">
        <v>0</v>
      </c>
      <c r="K18" s="18">
        <f t="shared" si="0"/>
        <v>239.70000000000002</v>
      </c>
      <c r="L18" s="18">
        <f t="shared" si="1"/>
        <v>0</v>
      </c>
      <c r="M18" s="18">
        <f t="shared" si="2"/>
        <v>239.70000000000002</v>
      </c>
      <c r="N18" s="24" t="e">
        <f>VLOOKUP(Vendas[[#This Row],[Mes2]],Planilha1!$J:$K,2,FALSE)</f>
        <v>#N/A</v>
      </c>
      <c r="O18" s="26" t="s">
        <v>481</v>
      </c>
    </row>
    <row r="19" spans="1:15">
      <c r="A19" s="13" t="s">
        <v>137</v>
      </c>
      <c r="B19" s="14">
        <v>45673</v>
      </c>
      <c r="C19" s="1" t="s">
        <v>103</v>
      </c>
      <c r="D19" s="1" t="s">
        <v>104</v>
      </c>
      <c r="E19" s="1" t="s">
        <v>105</v>
      </c>
      <c r="F19" s="1" t="s">
        <v>100</v>
      </c>
      <c r="G19" s="1" t="s">
        <v>116</v>
      </c>
      <c r="H19" s="15">
        <v>1</v>
      </c>
      <c r="I19" s="16">
        <v>39.9</v>
      </c>
      <c r="J19" s="17">
        <v>0.05</v>
      </c>
      <c r="K19" s="18">
        <f t="shared" si="0"/>
        <v>39.9</v>
      </c>
      <c r="L19" s="18">
        <f t="shared" si="1"/>
        <v>1.9950000000000001</v>
      </c>
      <c r="M19" s="18">
        <f t="shared" si="2"/>
        <v>37.905000000000001</v>
      </c>
      <c r="N19" s="24" t="e">
        <f>VLOOKUP(Vendas[[#This Row],[Mes2]],Planilha1!$J:$K,2,FALSE)</f>
        <v>#N/A</v>
      </c>
      <c r="O19" s="26" t="s">
        <v>481</v>
      </c>
    </row>
    <row r="20" spans="1:15">
      <c r="A20" s="13" t="s">
        <v>135</v>
      </c>
      <c r="B20" s="14">
        <v>45675</v>
      </c>
      <c r="C20" s="1" t="s">
        <v>111</v>
      </c>
      <c r="D20" s="1" t="s">
        <v>104</v>
      </c>
      <c r="E20" s="1" t="s">
        <v>109</v>
      </c>
      <c r="F20" s="1" t="s">
        <v>128</v>
      </c>
      <c r="G20" s="1" t="s">
        <v>101</v>
      </c>
      <c r="H20" s="15">
        <v>2</v>
      </c>
      <c r="I20" s="16">
        <v>28.9</v>
      </c>
      <c r="J20" s="17">
        <v>0.05</v>
      </c>
      <c r="K20" s="18">
        <f t="shared" si="0"/>
        <v>57.8</v>
      </c>
      <c r="L20" s="18">
        <f t="shared" si="1"/>
        <v>2.89</v>
      </c>
      <c r="M20" s="18">
        <f t="shared" si="2"/>
        <v>54.91</v>
      </c>
      <c r="N20" s="24" t="e">
        <f>VLOOKUP(Vendas[[#This Row],[Mes2]],Planilha1!$J:$K,2,FALSE)</f>
        <v>#N/A</v>
      </c>
      <c r="O20" s="26" t="s">
        <v>481</v>
      </c>
    </row>
    <row r="21" spans="1:15">
      <c r="A21" s="13" t="s">
        <v>130</v>
      </c>
      <c r="B21" s="14">
        <v>45676</v>
      </c>
      <c r="C21" s="1" t="s">
        <v>113</v>
      </c>
      <c r="D21" s="1" t="s">
        <v>114</v>
      </c>
      <c r="E21" s="1" t="s">
        <v>105</v>
      </c>
      <c r="F21" s="1" t="s">
        <v>100</v>
      </c>
      <c r="G21" s="1" t="s">
        <v>101</v>
      </c>
      <c r="H21" s="15">
        <v>2</v>
      </c>
      <c r="I21" s="16">
        <v>18.899999999999999</v>
      </c>
      <c r="J21" s="17">
        <v>0.1</v>
      </c>
      <c r="K21" s="18">
        <f t="shared" si="0"/>
        <v>37.799999999999997</v>
      </c>
      <c r="L21" s="18">
        <f t="shared" si="1"/>
        <v>3.78</v>
      </c>
      <c r="M21" s="18">
        <f t="shared" si="2"/>
        <v>34.019999999999996</v>
      </c>
      <c r="N21" s="24" t="e">
        <f>VLOOKUP(Vendas[[#This Row],[Mes2]],Planilha1!$J:$K,2,FALSE)</f>
        <v>#N/A</v>
      </c>
      <c r="O21" s="26" t="s">
        <v>481</v>
      </c>
    </row>
    <row r="22" spans="1:15">
      <c r="A22" s="13" t="s">
        <v>120</v>
      </c>
      <c r="B22" s="14">
        <v>45677</v>
      </c>
      <c r="C22" s="1" t="s">
        <v>121</v>
      </c>
      <c r="D22" s="1" t="s">
        <v>98</v>
      </c>
      <c r="E22" s="1" t="s">
        <v>115</v>
      </c>
      <c r="F22" s="1" t="s">
        <v>106</v>
      </c>
      <c r="G22" s="1" t="s">
        <v>107</v>
      </c>
      <c r="H22" s="15">
        <v>1</v>
      </c>
      <c r="I22" s="16">
        <v>12.9</v>
      </c>
      <c r="J22" s="17">
        <v>0</v>
      </c>
      <c r="K22" s="18">
        <f t="shared" si="0"/>
        <v>12.9</v>
      </c>
      <c r="L22" s="18">
        <f t="shared" si="1"/>
        <v>0</v>
      </c>
      <c r="M22" s="18">
        <f t="shared" si="2"/>
        <v>12.9</v>
      </c>
      <c r="N22" s="24" t="e">
        <f>VLOOKUP(Vendas[[#This Row],[Mes2]],Planilha1!$J:$K,2,FALSE)</f>
        <v>#N/A</v>
      </c>
      <c r="O22" s="26" t="s">
        <v>481</v>
      </c>
    </row>
    <row r="23" spans="1:15">
      <c r="A23" s="13" t="s">
        <v>141</v>
      </c>
      <c r="B23" s="14">
        <v>45677</v>
      </c>
      <c r="C23" s="1" t="s">
        <v>121</v>
      </c>
      <c r="D23" s="1" t="s">
        <v>98</v>
      </c>
      <c r="E23" s="1" t="s">
        <v>109</v>
      </c>
      <c r="F23" s="1" t="s">
        <v>128</v>
      </c>
      <c r="G23" s="1" t="s">
        <v>116</v>
      </c>
      <c r="H23" s="15">
        <v>2</v>
      </c>
      <c r="I23" s="16">
        <v>12.9</v>
      </c>
      <c r="J23" s="17">
        <v>0.05</v>
      </c>
      <c r="K23" s="18">
        <f t="shared" si="0"/>
        <v>25.8</v>
      </c>
      <c r="L23" s="18">
        <f t="shared" si="1"/>
        <v>1.29</v>
      </c>
      <c r="M23" s="18">
        <f t="shared" si="2"/>
        <v>24.51</v>
      </c>
      <c r="N23" s="24" t="e">
        <f>VLOOKUP(Vendas[[#This Row],[Mes2]],Planilha1!$J:$K,2,FALSE)</f>
        <v>#N/A</v>
      </c>
      <c r="O23" s="26" t="s">
        <v>481</v>
      </c>
    </row>
    <row r="24" spans="1:15">
      <c r="A24" s="13" t="s">
        <v>148</v>
      </c>
      <c r="B24" s="14">
        <v>45678</v>
      </c>
      <c r="C24" s="1" t="s">
        <v>113</v>
      </c>
      <c r="D24" s="1" t="s">
        <v>114</v>
      </c>
      <c r="E24" s="1" t="s">
        <v>105</v>
      </c>
      <c r="F24" s="1" t="s">
        <v>106</v>
      </c>
      <c r="G24" s="1" t="s">
        <v>107</v>
      </c>
      <c r="H24" s="15">
        <v>3</v>
      </c>
      <c r="I24" s="16">
        <v>18.899999999999999</v>
      </c>
      <c r="J24" s="17">
        <v>0</v>
      </c>
      <c r="K24" s="18">
        <f t="shared" si="0"/>
        <v>56.699999999999996</v>
      </c>
      <c r="L24" s="18">
        <f t="shared" si="1"/>
        <v>0</v>
      </c>
      <c r="M24" s="18">
        <f t="shared" si="2"/>
        <v>56.699999999999996</v>
      </c>
      <c r="N24" s="24" t="e">
        <f>VLOOKUP(Vendas[[#This Row],[Mes2]],Planilha1!$J:$K,2,FALSE)</f>
        <v>#N/A</v>
      </c>
      <c r="O24" s="26" t="s">
        <v>481</v>
      </c>
    </row>
    <row r="25" spans="1:15">
      <c r="A25" s="13" t="s">
        <v>125</v>
      </c>
      <c r="B25" s="14">
        <v>45679</v>
      </c>
      <c r="C25" s="1" t="s">
        <v>111</v>
      </c>
      <c r="D25" s="1" t="s">
        <v>104</v>
      </c>
      <c r="E25" s="1" t="s">
        <v>126</v>
      </c>
      <c r="F25" s="1" t="s">
        <v>106</v>
      </c>
      <c r="G25" s="1" t="s">
        <v>107</v>
      </c>
      <c r="H25" s="15">
        <v>3</v>
      </c>
      <c r="I25" s="16">
        <v>28.9</v>
      </c>
      <c r="J25" s="17">
        <v>0.05</v>
      </c>
      <c r="K25" s="18">
        <f t="shared" si="0"/>
        <v>86.699999999999989</v>
      </c>
      <c r="L25" s="18">
        <f t="shared" si="1"/>
        <v>4.335</v>
      </c>
      <c r="M25" s="18">
        <f t="shared" si="2"/>
        <v>82.364999999999995</v>
      </c>
      <c r="N25" s="24" t="e">
        <f>VLOOKUP(Vendas[[#This Row],[Mes2]],Planilha1!$J:$K,2,FALSE)</f>
        <v>#N/A</v>
      </c>
      <c r="O25" s="26" t="s">
        <v>481</v>
      </c>
    </row>
    <row r="26" spans="1:15">
      <c r="A26" s="13" t="s">
        <v>138</v>
      </c>
      <c r="B26" s="14">
        <v>45679</v>
      </c>
      <c r="C26" s="1" t="s">
        <v>97</v>
      </c>
      <c r="D26" s="1" t="s">
        <v>98</v>
      </c>
      <c r="E26" s="1" t="s">
        <v>105</v>
      </c>
      <c r="F26" s="1" t="s">
        <v>100</v>
      </c>
      <c r="G26" s="1" t="s">
        <v>107</v>
      </c>
      <c r="H26" s="15">
        <v>1</v>
      </c>
      <c r="I26" s="16">
        <v>34.9</v>
      </c>
      <c r="J26" s="17">
        <v>0.05</v>
      </c>
      <c r="K26" s="18">
        <f t="shared" si="0"/>
        <v>34.9</v>
      </c>
      <c r="L26" s="18">
        <f t="shared" si="1"/>
        <v>1.7450000000000001</v>
      </c>
      <c r="M26" s="18">
        <f t="shared" si="2"/>
        <v>33.155000000000001</v>
      </c>
      <c r="N26" s="24" t="e">
        <f>VLOOKUP(Vendas[[#This Row],[Mes2]],Planilha1!$J:$K,2,FALSE)</f>
        <v>#N/A</v>
      </c>
      <c r="O26" s="26" t="s">
        <v>481</v>
      </c>
    </row>
    <row r="27" spans="1:15">
      <c r="A27" s="13" t="s">
        <v>122</v>
      </c>
      <c r="B27" s="14">
        <v>45680</v>
      </c>
      <c r="C27" s="1" t="s">
        <v>123</v>
      </c>
      <c r="D27" s="1" t="s">
        <v>114</v>
      </c>
      <c r="E27" s="1" t="s">
        <v>99</v>
      </c>
      <c r="F27" s="1" t="s">
        <v>100</v>
      </c>
      <c r="G27" s="1" t="s">
        <v>116</v>
      </c>
      <c r="H27" s="15">
        <v>1</v>
      </c>
      <c r="I27" s="16">
        <v>74.900000000000006</v>
      </c>
      <c r="J27" s="17">
        <v>0</v>
      </c>
      <c r="K27" s="18">
        <f t="shared" si="0"/>
        <v>74.900000000000006</v>
      </c>
      <c r="L27" s="18">
        <f t="shared" si="1"/>
        <v>0</v>
      </c>
      <c r="M27" s="18">
        <f t="shared" si="2"/>
        <v>74.900000000000006</v>
      </c>
      <c r="N27" s="24" t="e">
        <f>VLOOKUP(Vendas[[#This Row],[Mes2]],Planilha1!$J:$K,2,FALSE)</f>
        <v>#N/A</v>
      </c>
      <c r="O27" s="26" t="s">
        <v>481</v>
      </c>
    </row>
    <row r="28" spans="1:15">
      <c r="A28" s="13" t="s">
        <v>145</v>
      </c>
      <c r="B28" s="14">
        <v>45680</v>
      </c>
      <c r="C28" s="1" t="s">
        <v>123</v>
      </c>
      <c r="D28" s="1" t="s">
        <v>114</v>
      </c>
      <c r="E28" s="1" t="s">
        <v>99</v>
      </c>
      <c r="F28" s="1" t="s">
        <v>100</v>
      </c>
      <c r="G28" s="1" t="s">
        <v>101</v>
      </c>
      <c r="H28" s="15">
        <v>1</v>
      </c>
      <c r="I28" s="16">
        <v>74.900000000000006</v>
      </c>
      <c r="J28" s="17">
        <v>0.1</v>
      </c>
      <c r="K28" s="18">
        <f t="shared" si="0"/>
        <v>74.900000000000006</v>
      </c>
      <c r="L28" s="18">
        <f t="shared" si="1"/>
        <v>7.4900000000000011</v>
      </c>
      <c r="M28" s="18">
        <f t="shared" si="2"/>
        <v>67.410000000000011</v>
      </c>
      <c r="N28" s="24" t="e">
        <f>VLOOKUP(Vendas[[#This Row],[Mes2]],Planilha1!$J:$K,2,FALSE)</f>
        <v>#N/A</v>
      </c>
      <c r="O28" s="26" t="s">
        <v>481</v>
      </c>
    </row>
    <row r="29" spans="1:15">
      <c r="A29" s="13" t="s">
        <v>136</v>
      </c>
      <c r="B29" s="14">
        <v>45681</v>
      </c>
      <c r="C29" s="1" t="s">
        <v>118</v>
      </c>
      <c r="D29" s="1" t="s">
        <v>98</v>
      </c>
      <c r="E29" s="1" t="s">
        <v>99</v>
      </c>
      <c r="F29" s="1" t="s">
        <v>106</v>
      </c>
      <c r="G29" s="1" t="s">
        <v>107</v>
      </c>
      <c r="H29" s="15">
        <v>1</v>
      </c>
      <c r="I29" s="16">
        <v>89.9</v>
      </c>
      <c r="J29" s="17">
        <v>0.15</v>
      </c>
      <c r="K29" s="18">
        <f t="shared" si="0"/>
        <v>89.9</v>
      </c>
      <c r="L29" s="18">
        <f t="shared" si="1"/>
        <v>13.485000000000001</v>
      </c>
      <c r="M29" s="18">
        <f t="shared" si="2"/>
        <v>76.415000000000006</v>
      </c>
      <c r="N29" s="24" t="e">
        <f>VLOOKUP(Vendas[[#This Row],[Mes2]],Planilha1!$J:$K,2,FALSE)</f>
        <v>#N/A</v>
      </c>
      <c r="O29" s="26" t="s">
        <v>481</v>
      </c>
    </row>
    <row r="30" spans="1:15">
      <c r="A30" s="13" t="s">
        <v>132</v>
      </c>
      <c r="B30" s="14">
        <v>45682</v>
      </c>
      <c r="C30" s="1" t="s">
        <v>113</v>
      </c>
      <c r="D30" s="1" t="s">
        <v>114</v>
      </c>
      <c r="E30" s="1" t="s">
        <v>109</v>
      </c>
      <c r="F30" s="1" t="s">
        <v>106</v>
      </c>
      <c r="G30" s="1" t="s">
        <v>101</v>
      </c>
      <c r="H30" s="15">
        <v>2</v>
      </c>
      <c r="I30" s="16">
        <v>18.899999999999999</v>
      </c>
      <c r="J30" s="17">
        <v>0.05</v>
      </c>
      <c r="K30" s="18">
        <f t="shared" si="0"/>
        <v>37.799999999999997</v>
      </c>
      <c r="L30" s="18">
        <f t="shared" si="1"/>
        <v>1.89</v>
      </c>
      <c r="M30" s="18">
        <f t="shared" si="2"/>
        <v>35.909999999999997</v>
      </c>
      <c r="N30" s="24" t="e">
        <f>VLOOKUP(Vendas[[#This Row],[Mes2]],Planilha1!$J:$K,2,FALSE)</f>
        <v>#N/A</v>
      </c>
      <c r="O30" s="26" t="s">
        <v>481</v>
      </c>
    </row>
    <row r="31" spans="1:15">
      <c r="A31" s="13" t="s">
        <v>124</v>
      </c>
      <c r="B31" s="14">
        <v>45685</v>
      </c>
      <c r="C31" s="1" t="s">
        <v>103</v>
      </c>
      <c r="D31" s="1" t="s">
        <v>104</v>
      </c>
      <c r="E31" s="1" t="s">
        <v>105</v>
      </c>
      <c r="F31" s="1" t="s">
        <v>106</v>
      </c>
      <c r="G31" s="1" t="s">
        <v>101</v>
      </c>
      <c r="H31" s="15">
        <v>1</v>
      </c>
      <c r="I31" s="16">
        <v>39.9</v>
      </c>
      <c r="J31" s="17">
        <v>0.05</v>
      </c>
      <c r="K31" s="18">
        <f t="shared" si="0"/>
        <v>39.9</v>
      </c>
      <c r="L31" s="18">
        <f t="shared" si="1"/>
        <v>1.9950000000000001</v>
      </c>
      <c r="M31" s="18">
        <f t="shared" si="2"/>
        <v>37.905000000000001</v>
      </c>
      <c r="N31" s="24" t="e">
        <f>VLOOKUP(Vendas[[#This Row],[Mes2]],Planilha1!$J:$K,2,FALSE)</f>
        <v>#N/A</v>
      </c>
      <c r="O31" s="26" t="s">
        <v>481</v>
      </c>
    </row>
    <row r="32" spans="1:15">
      <c r="A32" s="13" t="s">
        <v>131</v>
      </c>
      <c r="B32" s="14">
        <v>45687</v>
      </c>
      <c r="C32" s="1" t="s">
        <v>97</v>
      </c>
      <c r="D32" s="1" t="s">
        <v>98</v>
      </c>
      <c r="E32" s="1" t="s">
        <v>109</v>
      </c>
      <c r="F32" s="1" t="s">
        <v>100</v>
      </c>
      <c r="G32" s="1" t="s">
        <v>107</v>
      </c>
      <c r="H32" s="15">
        <v>2</v>
      </c>
      <c r="I32" s="16">
        <v>34.9</v>
      </c>
      <c r="J32" s="17">
        <v>0.15</v>
      </c>
      <c r="K32" s="18">
        <f t="shared" si="0"/>
        <v>69.8</v>
      </c>
      <c r="L32" s="18">
        <f t="shared" si="1"/>
        <v>10.469999999999999</v>
      </c>
      <c r="M32" s="18">
        <f t="shared" si="2"/>
        <v>59.33</v>
      </c>
      <c r="N32" s="24" t="e">
        <f>VLOOKUP(Vendas[[#This Row],[Mes2]],Planilha1!$J:$K,2,FALSE)</f>
        <v>#N/A</v>
      </c>
      <c r="O32" s="26" t="s">
        <v>481</v>
      </c>
    </row>
    <row r="33" spans="1:15">
      <c r="A33" s="13" t="s">
        <v>140</v>
      </c>
      <c r="B33" s="14">
        <v>45687</v>
      </c>
      <c r="C33" s="1" t="s">
        <v>103</v>
      </c>
      <c r="D33" s="1" t="s">
        <v>104</v>
      </c>
      <c r="E33" s="1" t="s">
        <v>126</v>
      </c>
      <c r="F33" s="1" t="s">
        <v>100</v>
      </c>
      <c r="G33" s="1" t="s">
        <v>116</v>
      </c>
      <c r="H33" s="15">
        <v>1</v>
      </c>
      <c r="I33" s="16">
        <v>39.9</v>
      </c>
      <c r="J33" s="17">
        <v>0.05</v>
      </c>
      <c r="K33" s="18">
        <f t="shared" si="0"/>
        <v>39.9</v>
      </c>
      <c r="L33" s="18">
        <f t="shared" si="1"/>
        <v>1.9950000000000001</v>
      </c>
      <c r="M33" s="18">
        <f t="shared" si="2"/>
        <v>37.905000000000001</v>
      </c>
      <c r="N33" s="24" t="e">
        <f>VLOOKUP(Vendas[[#This Row],[Mes2]],Planilha1!$J:$K,2,FALSE)</f>
        <v>#N/A</v>
      </c>
      <c r="O33" s="26" t="s">
        <v>481</v>
      </c>
    </row>
    <row r="34" spans="1:15">
      <c r="A34" s="13" t="s">
        <v>102</v>
      </c>
      <c r="B34" s="14">
        <v>45688</v>
      </c>
      <c r="C34" s="1" t="s">
        <v>103</v>
      </c>
      <c r="D34" s="1" t="s">
        <v>104</v>
      </c>
      <c r="E34" s="1" t="s">
        <v>105</v>
      </c>
      <c r="F34" s="1" t="s">
        <v>106</v>
      </c>
      <c r="G34" s="1" t="s">
        <v>107</v>
      </c>
      <c r="H34" s="15">
        <v>1</v>
      </c>
      <c r="I34" s="16">
        <v>39.9</v>
      </c>
      <c r="J34" s="17">
        <v>0.05</v>
      </c>
      <c r="K34" s="18">
        <f t="shared" si="0"/>
        <v>39.9</v>
      </c>
      <c r="L34" s="18">
        <f t="shared" si="1"/>
        <v>1.9950000000000001</v>
      </c>
      <c r="M34" s="18">
        <f t="shared" si="2"/>
        <v>37.905000000000001</v>
      </c>
      <c r="N34" s="24" t="e">
        <f>VLOOKUP(Vendas[[#This Row],[Mes2]],Planilha1!$J:$K,2,FALSE)</f>
        <v>#N/A</v>
      </c>
      <c r="O34" s="26" t="s">
        <v>481</v>
      </c>
    </row>
    <row r="35" spans="1:15">
      <c r="A35" s="13" t="s">
        <v>149</v>
      </c>
      <c r="B35" s="14">
        <v>45689</v>
      </c>
      <c r="C35" s="1" t="s">
        <v>121</v>
      </c>
      <c r="D35" s="1" t="s">
        <v>98</v>
      </c>
      <c r="E35" s="1" t="s">
        <v>99</v>
      </c>
      <c r="F35" s="1" t="s">
        <v>100</v>
      </c>
      <c r="G35" s="1" t="s">
        <v>107</v>
      </c>
      <c r="H35" s="15">
        <v>3</v>
      </c>
      <c r="I35" s="16">
        <v>12.9</v>
      </c>
      <c r="J35" s="17">
        <v>0</v>
      </c>
      <c r="K35" s="18">
        <f t="shared" si="0"/>
        <v>38.700000000000003</v>
      </c>
      <c r="L35" s="18">
        <f t="shared" si="1"/>
        <v>0</v>
      </c>
      <c r="M35" s="18">
        <f t="shared" si="2"/>
        <v>38.700000000000003</v>
      </c>
      <c r="N35" s="24" t="e">
        <f>VLOOKUP(Vendas[[#This Row],[Mes2]],Planilha1!$J:$K,2,FALSE)</f>
        <v>#N/A</v>
      </c>
      <c r="O35" s="26" t="s">
        <v>485</v>
      </c>
    </row>
    <row r="36" spans="1:15">
      <c r="A36" s="13" t="s">
        <v>170</v>
      </c>
      <c r="B36" s="14">
        <v>45690</v>
      </c>
      <c r="C36" s="1" t="s">
        <v>111</v>
      </c>
      <c r="D36" s="1" t="s">
        <v>104</v>
      </c>
      <c r="E36" s="1" t="s">
        <v>99</v>
      </c>
      <c r="F36" s="1" t="s">
        <v>106</v>
      </c>
      <c r="G36" s="1" t="s">
        <v>116</v>
      </c>
      <c r="H36" s="15">
        <v>2</v>
      </c>
      <c r="I36" s="16">
        <v>28.9</v>
      </c>
      <c r="J36" s="17">
        <v>0.05</v>
      </c>
      <c r="K36" s="18">
        <f t="shared" si="0"/>
        <v>57.8</v>
      </c>
      <c r="L36" s="18">
        <f t="shared" si="1"/>
        <v>2.89</v>
      </c>
      <c r="M36" s="18">
        <f t="shared" si="2"/>
        <v>54.91</v>
      </c>
      <c r="N36" s="24" t="e">
        <f>VLOOKUP(Vendas[[#This Row],[Mes2]],Planilha1!$J:$K,2,FALSE)</f>
        <v>#N/A</v>
      </c>
      <c r="O36" s="26" t="s">
        <v>485</v>
      </c>
    </row>
    <row r="37" spans="1:15">
      <c r="A37" s="13" t="s">
        <v>175</v>
      </c>
      <c r="B37" s="14">
        <v>45690</v>
      </c>
      <c r="C37" s="1" t="s">
        <v>111</v>
      </c>
      <c r="D37" s="1" t="s">
        <v>104</v>
      </c>
      <c r="E37" s="1" t="s">
        <v>105</v>
      </c>
      <c r="F37" s="1" t="s">
        <v>100</v>
      </c>
      <c r="G37" s="1" t="s">
        <v>107</v>
      </c>
      <c r="H37" s="15">
        <v>1</v>
      </c>
      <c r="I37" s="16">
        <v>28.9</v>
      </c>
      <c r="J37" s="17">
        <v>0.05</v>
      </c>
      <c r="K37" s="18">
        <f t="shared" si="0"/>
        <v>28.9</v>
      </c>
      <c r="L37" s="18">
        <f t="shared" si="1"/>
        <v>1.4450000000000001</v>
      </c>
      <c r="M37" s="18">
        <f t="shared" si="2"/>
        <v>27.454999999999998</v>
      </c>
      <c r="N37" s="24" t="e">
        <f>VLOOKUP(Vendas[[#This Row],[Mes2]],Planilha1!$J:$K,2,FALSE)</f>
        <v>#N/A</v>
      </c>
      <c r="O37" s="26" t="s">
        <v>485</v>
      </c>
    </row>
    <row r="38" spans="1:15">
      <c r="A38" s="13" t="s">
        <v>154</v>
      </c>
      <c r="B38" s="14">
        <v>45691</v>
      </c>
      <c r="C38" s="1" t="s">
        <v>111</v>
      </c>
      <c r="D38" s="1" t="s">
        <v>104</v>
      </c>
      <c r="E38" s="1" t="s">
        <v>99</v>
      </c>
      <c r="F38" s="1" t="s">
        <v>100</v>
      </c>
      <c r="G38" s="1" t="s">
        <v>101</v>
      </c>
      <c r="H38" s="15">
        <v>2</v>
      </c>
      <c r="I38" s="16">
        <v>28.9</v>
      </c>
      <c r="J38" s="17">
        <v>0</v>
      </c>
      <c r="K38" s="18">
        <f t="shared" si="0"/>
        <v>57.8</v>
      </c>
      <c r="L38" s="18">
        <f t="shared" si="1"/>
        <v>0</v>
      </c>
      <c r="M38" s="18">
        <f t="shared" si="2"/>
        <v>57.8</v>
      </c>
      <c r="N38" s="24" t="e">
        <f>VLOOKUP(Vendas[[#This Row],[Mes2]],Planilha1!$J:$K,2,FALSE)</f>
        <v>#N/A</v>
      </c>
      <c r="O38" s="26" t="s">
        <v>485</v>
      </c>
    </row>
    <row r="39" spans="1:15">
      <c r="A39" s="13" t="s">
        <v>155</v>
      </c>
      <c r="B39" s="14">
        <v>45691</v>
      </c>
      <c r="C39" s="1" t="s">
        <v>103</v>
      </c>
      <c r="D39" s="1" t="s">
        <v>104</v>
      </c>
      <c r="E39" s="1" t="s">
        <v>115</v>
      </c>
      <c r="F39" s="1" t="s">
        <v>100</v>
      </c>
      <c r="G39" s="1" t="s">
        <v>101</v>
      </c>
      <c r="H39" s="15">
        <v>3</v>
      </c>
      <c r="I39" s="16">
        <v>39.9</v>
      </c>
      <c r="J39" s="17">
        <v>0</v>
      </c>
      <c r="K39" s="18">
        <f t="shared" si="0"/>
        <v>119.69999999999999</v>
      </c>
      <c r="L39" s="18">
        <f t="shared" si="1"/>
        <v>0</v>
      </c>
      <c r="M39" s="18">
        <f t="shared" si="2"/>
        <v>119.69999999999999</v>
      </c>
      <c r="N39" s="24" t="e">
        <f>VLOOKUP(Vendas[[#This Row],[Mes2]],Planilha1!$J:$K,2,FALSE)</f>
        <v>#N/A</v>
      </c>
      <c r="O39" s="26" t="s">
        <v>485</v>
      </c>
    </row>
    <row r="40" spans="1:15">
      <c r="A40" s="13" t="s">
        <v>159</v>
      </c>
      <c r="B40" s="14">
        <v>45692</v>
      </c>
      <c r="C40" s="1" t="s">
        <v>103</v>
      </c>
      <c r="D40" s="1" t="s">
        <v>104</v>
      </c>
      <c r="E40" s="1" t="s">
        <v>115</v>
      </c>
      <c r="F40" s="1" t="s">
        <v>128</v>
      </c>
      <c r="G40" s="1" t="s">
        <v>116</v>
      </c>
      <c r="H40" s="15">
        <v>3</v>
      </c>
      <c r="I40" s="16">
        <v>39.9</v>
      </c>
      <c r="J40" s="17">
        <v>0.05</v>
      </c>
      <c r="K40" s="18">
        <f t="shared" si="0"/>
        <v>119.69999999999999</v>
      </c>
      <c r="L40" s="18">
        <f t="shared" si="1"/>
        <v>5.9849999999999994</v>
      </c>
      <c r="M40" s="18">
        <f t="shared" si="2"/>
        <v>113.71499999999999</v>
      </c>
      <c r="N40" s="24" t="e">
        <f>VLOOKUP(Vendas[[#This Row],[Mes2]],Planilha1!$J:$K,2,FALSE)</f>
        <v>#N/A</v>
      </c>
      <c r="O40" s="26" t="s">
        <v>485</v>
      </c>
    </row>
    <row r="41" spans="1:15">
      <c r="A41" s="13" t="s">
        <v>173</v>
      </c>
      <c r="B41" s="14">
        <v>45693</v>
      </c>
      <c r="C41" s="1" t="s">
        <v>121</v>
      </c>
      <c r="D41" s="1" t="s">
        <v>98</v>
      </c>
      <c r="E41" s="1" t="s">
        <v>115</v>
      </c>
      <c r="F41" s="1" t="s">
        <v>100</v>
      </c>
      <c r="G41" s="1" t="s">
        <v>101</v>
      </c>
      <c r="H41" s="15">
        <v>1</v>
      </c>
      <c r="I41" s="16">
        <v>12.9</v>
      </c>
      <c r="J41" s="17">
        <v>0.1</v>
      </c>
      <c r="K41" s="18">
        <f t="shared" si="0"/>
        <v>12.9</v>
      </c>
      <c r="L41" s="18">
        <f t="shared" si="1"/>
        <v>1.29</v>
      </c>
      <c r="M41" s="18">
        <f t="shared" si="2"/>
        <v>11.61</v>
      </c>
      <c r="N41" s="24" t="e">
        <f>VLOOKUP(Vendas[[#This Row],[Mes2]],Planilha1!$J:$K,2,FALSE)</f>
        <v>#N/A</v>
      </c>
      <c r="O41" s="26" t="s">
        <v>485</v>
      </c>
    </row>
    <row r="42" spans="1:15">
      <c r="A42" s="13" t="s">
        <v>176</v>
      </c>
      <c r="B42" s="14">
        <v>45693</v>
      </c>
      <c r="C42" s="1" t="s">
        <v>121</v>
      </c>
      <c r="D42" s="1" t="s">
        <v>98</v>
      </c>
      <c r="E42" s="1" t="s">
        <v>126</v>
      </c>
      <c r="F42" s="1" t="s">
        <v>100</v>
      </c>
      <c r="G42" s="1" t="s">
        <v>116</v>
      </c>
      <c r="H42" s="15">
        <v>3</v>
      </c>
      <c r="I42" s="16">
        <v>12.9</v>
      </c>
      <c r="J42" s="17">
        <v>0.15</v>
      </c>
      <c r="K42" s="18">
        <f t="shared" si="0"/>
        <v>38.700000000000003</v>
      </c>
      <c r="L42" s="18">
        <f t="shared" si="1"/>
        <v>5.8050000000000006</v>
      </c>
      <c r="M42" s="18">
        <f t="shared" si="2"/>
        <v>32.895000000000003</v>
      </c>
      <c r="N42" s="24" t="e">
        <f>VLOOKUP(Vendas[[#This Row],[Mes2]],Planilha1!$J:$K,2,FALSE)</f>
        <v>#N/A</v>
      </c>
      <c r="O42" s="26" t="s">
        <v>485</v>
      </c>
    </row>
    <row r="43" spans="1:15">
      <c r="A43" s="13" t="s">
        <v>150</v>
      </c>
      <c r="B43" s="14">
        <v>45694</v>
      </c>
      <c r="C43" s="1" t="s">
        <v>97</v>
      </c>
      <c r="D43" s="1" t="s">
        <v>98</v>
      </c>
      <c r="E43" s="1" t="s">
        <v>105</v>
      </c>
      <c r="F43" s="1" t="s">
        <v>100</v>
      </c>
      <c r="G43" s="1" t="s">
        <v>143</v>
      </c>
      <c r="H43" s="15">
        <v>2</v>
      </c>
      <c r="I43" s="16">
        <v>34.9</v>
      </c>
      <c r="J43" s="17">
        <v>0.15</v>
      </c>
      <c r="K43" s="18">
        <f t="shared" si="0"/>
        <v>69.8</v>
      </c>
      <c r="L43" s="18">
        <f t="shared" si="1"/>
        <v>10.469999999999999</v>
      </c>
      <c r="M43" s="18">
        <f t="shared" si="2"/>
        <v>59.33</v>
      </c>
      <c r="N43" s="24" t="e">
        <f>VLOOKUP(Vendas[[#This Row],[Mes2]],Planilha1!$J:$K,2,FALSE)</f>
        <v>#N/A</v>
      </c>
      <c r="O43" s="26" t="s">
        <v>485</v>
      </c>
    </row>
    <row r="44" spans="1:15">
      <c r="A44" s="13" t="s">
        <v>169</v>
      </c>
      <c r="B44" s="14">
        <v>45695</v>
      </c>
      <c r="C44" s="1" t="s">
        <v>103</v>
      </c>
      <c r="D44" s="1" t="s">
        <v>104</v>
      </c>
      <c r="E44" s="1" t="s">
        <v>115</v>
      </c>
      <c r="F44" s="1" t="s">
        <v>128</v>
      </c>
      <c r="G44" s="1" t="s">
        <v>101</v>
      </c>
      <c r="H44" s="15">
        <v>3</v>
      </c>
      <c r="I44" s="16">
        <v>39.9</v>
      </c>
      <c r="J44" s="17">
        <v>0.1</v>
      </c>
      <c r="K44" s="18">
        <f t="shared" si="0"/>
        <v>119.69999999999999</v>
      </c>
      <c r="L44" s="18">
        <f t="shared" si="1"/>
        <v>11.969999999999999</v>
      </c>
      <c r="M44" s="18">
        <f t="shared" si="2"/>
        <v>107.72999999999999</v>
      </c>
      <c r="N44" s="24" t="e">
        <f>VLOOKUP(Vendas[[#This Row],[Mes2]],Planilha1!$J:$K,2,FALSE)</f>
        <v>#N/A</v>
      </c>
      <c r="O44" s="26" t="s">
        <v>485</v>
      </c>
    </row>
    <row r="45" spans="1:15">
      <c r="A45" s="13" t="s">
        <v>174</v>
      </c>
      <c r="B45" s="14">
        <v>45695</v>
      </c>
      <c r="C45" s="1" t="s">
        <v>118</v>
      </c>
      <c r="D45" s="1" t="s">
        <v>98</v>
      </c>
      <c r="E45" s="1" t="s">
        <v>105</v>
      </c>
      <c r="F45" s="1" t="s">
        <v>106</v>
      </c>
      <c r="G45" s="1" t="s">
        <v>143</v>
      </c>
      <c r="H45" s="15">
        <v>2</v>
      </c>
      <c r="I45" s="16">
        <v>89.9</v>
      </c>
      <c r="J45" s="17">
        <v>0</v>
      </c>
      <c r="K45" s="18">
        <f t="shared" si="0"/>
        <v>179.8</v>
      </c>
      <c r="L45" s="18">
        <f t="shared" si="1"/>
        <v>0</v>
      </c>
      <c r="M45" s="18">
        <f t="shared" si="2"/>
        <v>179.8</v>
      </c>
      <c r="N45" s="24" t="e">
        <f>VLOOKUP(Vendas[[#This Row],[Mes2]],Planilha1!$J:$K,2,FALSE)</f>
        <v>#N/A</v>
      </c>
      <c r="O45" s="26" t="s">
        <v>485</v>
      </c>
    </row>
    <row r="46" spans="1:15">
      <c r="A46" s="13" t="s">
        <v>171</v>
      </c>
      <c r="B46" s="14">
        <v>45696</v>
      </c>
      <c r="C46" s="1" t="s">
        <v>118</v>
      </c>
      <c r="D46" s="1" t="s">
        <v>98</v>
      </c>
      <c r="E46" s="1" t="s">
        <v>109</v>
      </c>
      <c r="F46" s="1" t="s">
        <v>100</v>
      </c>
      <c r="G46" s="1" t="s">
        <v>107</v>
      </c>
      <c r="H46" s="15">
        <v>1</v>
      </c>
      <c r="I46" s="16">
        <v>89.9</v>
      </c>
      <c r="J46" s="17">
        <v>0.1</v>
      </c>
      <c r="K46" s="18">
        <f t="shared" si="0"/>
        <v>89.9</v>
      </c>
      <c r="L46" s="18">
        <f t="shared" si="1"/>
        <v>8.99</v>
      </c>
      <c r="M46" s="18">
        <f t="shared" si="2"/>
        <v>80.910000000000011</v>
      </c>
      <c r="N46" s="24" t="e">
        <f>VLOOKUP(Vendas[[#This Row],[Mes2]],Planilha1!$J:$K,2,FALSE)</f>
        <v>#N/A</v>
      </c>
      <c r="O46" s="26" t="s">
        <v>485</v>
      </c>
    </row>
    <row r="47" spans="1:15">
      <c r="A47" s="13" t="s">
        <v>178</v>
      </c>
      <c r="B47" s="14">
        <v>45696</v>
      </c>
      <c r="C47" s="1" t="s">
        <v>134</v>
      </c>
      <c r="D47" s="1" t="s">
        <v>104</v>
      </c>
      <c r="E47" s="1" t="s">
        <v>109</v>
      </c>
      <c r="F47" s="1" t="s">
        <v>100</v>
      </c>
      <c r="G47" s="1" t="s">
        <v>143</v>
      </c>
      <c r="H47" s="15">
        <v>3</v>
      </c>
      <c r="I47" s="16">
        <v>79.900000000000006</v>
      </c>
      <c r="J47" s="17">
        <v>0</v>
      </c>
      <c r="K47" s="18">
        <f t="shared" si="0"/>
        <v>239.70000000000002</v>
      </c>
      <c r="L47" s="18">
        <f t="shared" si="1"/>
        <v>0</v>
      </c>
      <c r="M47" s="18">
        <f t="shared" si="2"/>
        <v>239.70000000000002</v>
      </c>
      <c r="N47" s="24" t="e">
        <f>VLOOKUP(Vendas[[#This Row],[Mes2]],Planilha1!$J:$K,2,FALSE)</f>
        <v>#N/A</v>
      </c>
      <c r="O47" s="26" t="s">
        <v>485</v>
      </c>
    </row>
    <row r="48" spans="1:15">
      <c r="A48" s="13" t="s">
        <v>164</v>
      </c>
      <c r="B48" s="14">
        <v>45697</v>
      </c>
      <c r="C48" s="1" t="s">
        <v>97</v>
      </c>
      <c r="D48" s="1" t="s">
        <v>98</v>
      </c>
      <c r="E48" s="1" t="s">
        <v>99</v>
      </c>
      <c r="F48" s="1" t="s">
        <v>100</v>
      </c>
      <c r="G48" s="1" t="s">
        <v>143</v>
      </c>
      <c r="H48" s="15">
        <v>3</v>
      </c>
      <c r="I48" s="16">
        <v>34.9</v>
      </c>
      <c r="J48" s="17">
        <v>0.05</v>
      </c>
      <c r="K48" s="18">
        <f t="shared" si="0"/>
        <v>104.69999999999999</v>
      </c>
      <c r="L48" s="18">
        <f t="shared" si="1"/>
        <v>5.2349999999999994</v>
      </c>
      <c r="M48" s="18">
        <f t="shared" si="2"/>
        <v>99.464999999999989</v>
      </c>
      <c r="N48" s="24" t="e">
        <f>VLOOKUP(Vendas[[#This Row],[Mes2]],Planilha1!$J:$K,2,FALSE)</f>
        <v>#N/A</v>
      </c>
      <c r="O48" s="26" t="s">
        <v>485</v>
      </c>
    </row>
    <row r="49" spans="1:15">
      <c r="A49" s="13" t="s">
        <v>157</v>
      </c>
      <c r="B49" s="14">
        <v>45698</v>
      </c>
      <c r="C49" s="1" t="s">
        <v>111</v>
      </c>
      <c r="D49" s="1" t="s">
        <v>104</v>
      </c>
      <c r="E49" s="1" t="s">
        <v>109</v>
      </c>
      <c r="F49" s="1" t="s">
        <v>106</v>
      </c>
      <c r="G49" s="1" t="s">
        <v>143</v>
      </c>
      <c r="H49" s="15">
        <v>2</v>
      </c>
      <c r="I49" s="16">
        <v>28.9</v>
      </c>
      <c r="J49" s="17">
        <v>0</v>
      </c>
      <c r="K49" s="18">
        <f t="shared" si="0"/>
        <v>57.8</v>
      </c>
      <c r="L49" s="18">
        <f t="shared" si="1"/>
        <v>0</v>
      </c>
      <c r="M49" s="18">
        <f t="shared" si="2"/>
        <v>57.8</v>
      </c>
      <c r="N49" s="24" t="e">
        <f>VLOOKUP(Vendas[[#This Row],[Mes2]],Planilha1!$J:$K,2,FALSE)</f>
        <v>#N/A</v>
      </c>
      <c r="O49" s="26" t="s">
        <v>485</v>
      </c>
    </row>
    <row r="50" spans="1:15">
      <c r="A50" s="13" t="s">
        <v>172</v>
      </c>
      <c r="B50" s="14">
        <v>45698</v>
      </c>
      <c r="C50" s="1" t="s">
        <v>97</v>
      </c>
      <c r="D50" s="1" t="s">
        <v>98</v>
      </c>
      <c r="E50" s="1" t="s">
        <v>109</v>
      </c>
      <c r="F50" s="1" t="s">
        <v>100</v>
      </c>
      <c r="G50" s="1" t="s">
        <v>107</v>
      </c>
      <c r="H50" s="15">
        <v>3</v>
      </c>
      <c r="I50" s="16">
        <v>34.9</v>
      </c>
      <c r="J50" s="17">
        <v>0.05</v>
      </c>
      <c r="K50" s="18">
        <f t="shared" si="0"/>
        <v>104.69999999999999</v>
      </c>
      <c r="L50" s="18">
        <f t="shared" si="1"/>
        <v>5.2349999999999994</v>
      </c>
      <c r="M50" s="18">
        <f t="shared" si="2"/>
        <v>99.464999999999989</v>
      </c>
      <c r="N50" s="24" t="e">
        <f>VLOOKUP(Vendas[[#This Row],[Mes2]],Planilha1!$J:$K,2,FALSE)</f>
        <v>#N/A</v>
      </c>
      <c r="O50" s="26" t="s">
        <v>485</v>
      </c>
    </row>
    <row r="51" spans="1:15">
      <c r="A51" s="13" t="s">
        <v>152</v>
      </c>
      <c r="B51" s="14">
        <v>45700</v>
      </c>
      <c r="C51" s="1" t="s">
        <v>111</v>
      </c>
      <c r="D51" s="1" t="s">
        <v>104</v>
      </c>
      <c r="E51" s="1" t="s">
        <v>99</v>
      </c>
      <c r="F51" s="1" t="s">
        <v>106</v>
      </c>
      <c r="G51" s="1" t="s">
        <v>107</v>
      </c>
      <c r="H51" s="15">
        <v>3</v>
      </c>
      <c r="I51" s="16">
        <v>28.9</v>
      </c>
      <c r="J51" s="17">
        <v>0.05</v>
      </c>
      <c r="K51" s="18">
        <f t="shared" si="0"/>
        <v>86.699999999999989</v>
      </c>
      <c r="L51" s="18">
        <f t="shared" si="1"/>
        <v>4.335</v>
      </c>
      <c r="M51" s="18">
        <f t="shared" si="2"/>
        <v>82.364999999999995</v>
      </c>
      <c r="N51" s="24" t="e">
        <f>VLOOKUP(Vendas[[#This Row],[Mes2]],Planilha1!$J:$K,2,FALSE)</f>
        <v>#N/A</v>
      </c>
      <c r="O51" s="26" t="s">
        <v>485</v>
      </c>
    </row>
    <row r="52" spans="1:15">
      <c r="A52" s="13" t="s">
        <v>162</v>
      </c>
      <c r="B52" s="14">
        <v>45701</v>
      </c>
      <c r="C52" s="1" t="s">
        <v>103</v>
      </c>
      <c r="D52" s="1" t="s">
        <v>104</v>
      </c>
      <c r="E52" s="1" t="s">
        <v>99</v>
      </c>
      <c r="F52" s="1" t="s">
        <v>106</v>
      </c>
      <c r="G52" s="1" t="s">
        <v>101</v>
      </c>
      <c r="H52" s="15">
        <v>2</v>
      </c>
      <c r="I52" s="16">
        <v>39.9</v>
      </c>
      <c r="J52" s="17">
        <v>0</v>
      </c>
      <c r="K52" s="18">
        <f t="shared" si="0"/>
        <v>79.8</v>
      </c>
      <c r="L52" s="18">
        <f t="shared" si="1"/>
        <v>0</v>
      </c>
      <c r="M52" s="18">
        <f t="shared" si="2"/>
        <v>79.8</v>
      </c>
      <c r="N52" s="24" t="e">
        <f>VLOOKUP(Vendas[[#This Row],[Mes2]],Planilha1!$J:$K,2,FALSE)</f>
        <v>#N/A</v>
      </c>
      <c r="O52" s="26" t="s">
        <v>485</v>
      </c>
    </row>
    <row r="53" spans="1:15">
      <c r="A53" s="13" t="s">
        <v>163</v>
      </c>
      <c r="B53" s="14">
        <v>45701</v>
      </c>
      <c r="C53" s="1" t="s">
        <v>111</v>
      </c>
      <c r="D53" s="1" t="s">
        <v>104</v>
      </c>
      <c r="E53" s="1" t="s">
        <v>105</v>
      </c>
      <c r="F53" s="1" t="s">
        <v>100</v>
      </c>
      <c r="G53" s="1" t="s">
        <v>107</v>
      </c>
      <c r="H53" s="15">
        <v>2</v>
      </c>
      <c r="I53" s="16">
        <v>28.9</v>
      </c>
      <c r="J53" s="17">
        <v>0.05</v>
      </c>
      <c r="K53" s="18">
        <f t="shared" si="0"/>
        <v>57.8</v>
      </c>
      <c r="L53" s="18">
        <f t="shared" si="1"/>
        <v>2.89</v>
      </c>
      <c r="M53" s="18">
        <f t="shared" si="2"/>
        <v>54.91</v>
      </c>
      <c r="N53" s="24" t="e">
        <f>VLOOKUP(Vendas[[#This Row],[Mes2]],Planilha1!$J:$K,2,FALSE)</f>
        <v>#N/A</v>
      </c>
      <c r="O53" s="26" t="s">
        <v>485</v>
      </c>
    </row>
    <row r="54" spans="1:15">
      <c r="A54" s="13" t="s">
        <v>153</v>
      </c>
      <c r="B54" s="14">
        <v>45703</v>
      </c>
      <c r="C54" s="1" t="s">
        <v>134</v>
      </c>
      <c r="D54" s="1" t="s">
        <v>104</v>
      </c>
      <c r="E54" s="1" t="s">
        <v>115</v>
      </c>
      <c r="F54" s="1" t="s">
        <v>106</v>
      </c>
      <c r="G54" s="1" t="s">
        <v>107</v>
      </c>
      <c r="H54" s="15">
        <v>1</v>
      </c>
      <c r="I54" s="16">
        <v>79.900000000000006</v>
      </c>
      <c r="J54" s="17">
        <v>0.15</v>
      </c>
      <c r="K54" s="18">
        <f t="shared" si="0"/>
        <v>79.900000000000006</v>
      </c>
      <c r="L54" s="18">
        <f t="shared" si="1"/>
        <v>11.985000000000001</v>
      </c>
      <c r="M54" s="18">
        <f t="shared" si="2"/>
        <v>67.915000000000006</v>
      </c>
      <c r="N54" s="24" t="e">
        <f>VLOOKUP(Vendas[[#This Row],[Mes2]],Planilha1!$J:$K,2,FALSE)</f>
        <v>#N/A</v>
      </c>
      <c r="O54" s="26" t="s">
        <v>485</v>
      </c>
    </row>
    <row r="55" spans="1:15">
      <c r="A55" s="13" t="s">
        <v>165</v>
      </c>
      <c r="B55" s="14">
        <v>45703</v>
      </c>
      <c r="C55" s="1" t="s">
        <v>118</v>
      </c>
      <c r="D55" s="1" t="s">
        <v>98</v>
      </c>
      <c r="E55" s="1" t="s">
        <v>109</v>
      </c>
      <c r="F55" s="1" t="s">
        <v>100</v>
      </c>
      <c r="G55" s="1" t="s">
        <v>107</v>
      </c>
      <c r="H55" s="15">
        <v>2</v>
      </c>
      <c r="I55" s="16">
        <v>89.9</v>
      </c>
      <c r="J55" s="17">
        <v>0.05</v>
      </c>
      <c r="K55" s="18">
        <f t="shared" si="0"/>
        <v>179.8</v>
      </c>
      <c r="L55" s="18">
        <f t="shared" si="1"/>
        <v>8.99</v>
      </c>
      <c r="M55" s="18">
        <f t="shared" si="2"/>
        <v>170.81</v>
      </c>
      <c r="N55" s="24" t="e">
        <f>VLOOKUP(Vendas[[#This Row],[Mes2]],Planilha1!$J:$K,2,FALSE)</f>
        <v>#N/A</v>
      </c>
      <c r="O55" s="26" t="s">
        <v>485</v>
      </c>
    </row>
    <row r="56" spans="1:15">
      <c r="A56" s="13" t="s">
        <v>158</v>
      </c>
      <c r="B56" s="14">
        <v>45704</v>
      </c>
      <c r="C56" s="1" t="s">
        <v>97</v>
      </c>
      <c r="D56" s="1" t="s">
        <v>98</v>
      </c>
      <c r="E56" s="1" t="s">
        <v>115</v>
      </c>
      <c r="F56" s="1" t="s">
        <v>100</v>
      </c>
      <c r="G56" s="1" t="s">
        <v>101</v>
      </c>
      <c r="H56" s="15">
        <v>2</v>
      </c>
      <c r="I56" s="16">
        <v>34.9</v>
      </c>
      <c r="J56" s="17">
        <v>0.1</v>
      </c>
      <c r="K56" s="18">
        <f t="shared" si="0"/>
        <v>69.8</v>
      </c>
      <c r="L56" s="18">
        <f t="shared" si="1"/>
        <v>6.98</v>
      </c>
      <c r="M56" s="18">
        <f t="shared" si="2"/>
        <v>62.819999999999993</v>
      </c>
      <c r="N56" s="24" t="e">
        <f>VLOOKUP(Vendas[[#This Row],[Mes2]],Planilha1!$J:$K,2,FALSE)</f>
        <v>#N/A</v>
      </c>
      <c r="O56" s="26" t="s">
        <v>485</v>
      </c>
    </row>
    <row r="57" spans="1:15">
      <c r="A57" s="13" t="s">
        <v>166</v>
      </c>
      <c r="B57" s="14">
        <v>45704</v>
      </c>
      <c r="C57" s="1" t="s">
        <v>97</v>
      </c>
      <c r="D57" s="1" t="s">
        <v>98</v>
      </c>
      <c r="E57" s="1" t="s">
        <v>109</v>
      </c>
      <c r="F57" s="1" t="s">
        <v>100</v>
      </c>
      <c r="G57" s="1" t="s">
        <v>116</v>
      </c>
      <c r="H57" s="15">
        <v>2</v>
      </c>
      <c r="I57" s="16">
        <v>34.9</v>
      </c>
      <c r="J57" s="17">
        <v>0.1</v>
      </c>
      <c r="K57" s="18">
        <f t="shared" si="0"/>
        <v>69.8</v>
      </c>
      <c r="L57" s="18">
        <f t="shared" si="1"/>
        <v>6.98</v>
      </c>
      <c r="M57" s="18">
        <f t="shared" si="2"/>
        <v>62.819999999999993</v>
      </c>
      <c r="N57" s="24" t="e">
        <f>VLOOKUP(Vendas[[#This Row],[Mes2]],Planilha1!$J:$K,2,FALSE)</f>
        <v>#N/A</v>
      </c>
      <c r="O57" s="26" t="s">
        <v>485</v>
      </c>
    </row>
    <row r="58" spans="1:15">
      <c r="A58" s="13" t="s">
        <v>151</v>
      </c>
      <c r="B58" s="14">
        <v>45705</v>
      </c>
      <c r="C58" s="1" t="s">
        <v>103</v>
      </c>
      <c r="D58" s="1" t="s">
        <v>104</v>
      </c>
      <c r="E58" s="1" t="s">
        <v>126</v>
      </c>
      <c r="F58" s="1" t="s">
        <v>100</v>
      </c>
      <c r="G58" s="1" t="s">
        <v>116</v>
      </c>
      <c r="H58" s="15">
        <v>1</v>
      </c>
      <c r="I58" s="16">
        <v>39.9</v>
      </c>
      <c r="J58" s="17">
        <v>0.15</v>
      </c>
      <c r="K58" s="18">
        <f t="shared" si="0"/>
        <v>39.9</v>
      </c>
      <c r="L58" s="18">
        <f t="shared" si="1"/>
        <v>5.9849999999999994</v>
      </c>
      <c r="M58" s="18">
        <f t="shared" si="2"/>
        <v>33.914999999999999</v>
      </c>
      <c r="N58" s="24" t="e">
        <f>VLOOKUP(Vendas[[#This Row],[Mes2]],Planilha1!$J:$K,2,FALSE)</f>
        <v>#N/A</v>
      </c>
      <c r="O58" s="26" t="s">
        <v>485</v>
      </c>
    </row>
    <row r="59" spans="1:15">
      <c r="A59" s="13" t="s">
        <v>167</v>
      </c>
      <c r="B59" s="14">
        <v>45705</v>
      </c>
      <c r="C59" s="1" t="s">
        <v>123</v>
      </c>
      <c r="D59" s="1" t="s">
        <v>114</v>
      </c>
      <c r="E59" s="1" t="s">
        <v>126</v>
      </c>
      <c r="F59" s="1" t="s">
        <v>128</v>
      </c>
      <c r="G59" s="1" t="s">
        <v>101</v>
      </c>
      <c r="H59" s="15">
        <v>1</v>
      </c>
      <c r="I59" s="16">
        <v>74.900000000000006</v>
      </c>
      <c r="J59" s="17">
        <v>0</v>
      </c>
      <c r="K59" s="18">
        <f t="shared" si="0"/>
        <v>74.900000000000006</v>
      </c>
      <c r="L59" s="18">
        <f t="shared" si="1"/>
        <v>0</v>
      </c>
      <c r="M59" s="18">
        <f t="shared" si="2"/>
        <v>74.900000000000006</v>
      </c>
      <c r="N59" s="24" t="e">
        <f>VLOOKUP(Vendas[[#This Row],[Mes2]],Planilha1!$J:$K,2,FALSE)</f>
        <v>#N/A</v>
      </c>
      <c r="O59" s="26" t="s">
        <v>485</v>
      </c>
    </row>
    <row r="60" spans="1:15">
      <c r="A60" s="13" t="s">
        <v>168</v>
      </c>
      <c r="B60" s="14">
        <v>45708</v>
      </c>
      <c r="C60" s="1" t="s">
        <v>118</v>
      </c>
      <c r="D60" s="1" t="s">
        <v>98</v>
      </c>
      <c r="E60" s="1" t="s">
        <v>115</v>
      </c>
      <c r="F60" s="1" t="s">
        <v>106</v>
      </c>
      <c r="G60" s="1" t="s">
        <v>116</v>
      </c>
      <c r="H60" s="15">
        <v>1</v>
      </c>
      <c r="I60" s="16">
        <v>89.9</v>
      </c>
      <c r="J60" s="17">
        <v>0.1</v>
      </c>
      <c r="K60" s="18">
        <f t="shared" si="0"/>
        <v>89.9</v>
      </c>
      <c r="L60" s="18">
        <f t="shared" si="1"/>
        <v>8.99</v>
      </c>
      <c r="M60" s="18">
        <f t="shared" si="2"/>
        <v>80.910000000000011</v>
      </c>
      <c r="N60" s="24" t="e">
        <f>VLOOKUP(Vendas[[#This Row],[Mes2]],Planilha1!$J:$K,2,FALSE)</f>
        <v>#N/A</v>
      </c>
      <c r="O60" s="26" t="s">
        <v>485</v>
      </c>
    </row>
    <row r="61" spans="1:15">
      <c r="A61" s="13" t="s">
        <v>161</v>
      </c>
      <c r="B61" s="14">
        <v>45711</v>
      </c>
      <c r="C61" s="1" t="s">
        <v>118</v>
      </c>
      <c r="D61" s="1" t="s">
        <v>98</v>
      </c>
      <c r="E61" s="1" t="s">
        <v>109</v>
      </c>
      <c r="F61" s="1" t="s">
        <v>100</v>
      </c>
      <c r="G61" s="1" t="s">
        <v>107</v>
      </c>
      <c r="H61" s="15">
        <v>1</v>
      </c>
      <c r="I61" s="16">
        <v>89.9</v>
      </c>
      <c r="J61" s="17">
        <v>0.1</v>
      </c>
      <c r="K61" s="18">
        <f t="shared" si="0"/>
        <v>89.9</v>
      </c>
      <c r="L61" s="18">
        <f t="shared" si="1"/>
        <v>8.99</v>
      </c>
      <c r="M61" s="18">
        <f t="shared" si="2"/>
        <v>80.910000000000011</v>
      </c>
      <c r="N61" s="24" t="e">
        <f>VLOOKUP(Vendas[[#This Row],[Mes2]],Planilha1!$J:$K,2,FALSE)</f>
        <v>#N/A</v>
      </c>
      <c r="O61" s="26" t="s">
        <v>485</v>
      </c>
    </row>
    <row r="62" spans="1:15">
      <c r="A62" s="13" t="s">
        <v>156</v>
      </c>
      <c r="B62" s="14">
        <v>45714</v>
      </c>
      <c r="C62" s="1" t="s">
        <v>103</v>
      </c>
      <c r="D62" s="1" t="s">
        <v>104</v>
      </c>
      <c r="E62" s="1" t="s">
        <v>99</v>
      </c>
      <c r="F62" s="1" t="s">
        <v>106</v>
      </c>
      <c r="G62" s="1" t="s">
        <v>101</v>
      </c>
      <c r="H62" s="15">
        <v>3</v>
      </c>
      <c r="I62" s="16">
        <v>39.9</v>
      </c>
      <c r="J62" s="17">
        <v>0</v>
      </c>
      <c r="K62" s="18">
        <f t="shared" si="0"/>
        <v>119.69999999999999</v>
      </c>
      <c r="L62" s="18">
        <f t="shared" si="1"/>
        <v>0</v>
      </c>
      <c r="M62" s="18">
        <f t="shared" si="2"/>
        <v>119.69999999999999</v>
      </c>
      <c r="N62" s="24" t="e">
        <f>VLOOKUP(Vendas[[#This Row],[Mes2]],Planilha1!$J:$K,2,FALSE)</f>
        <v>#N/A</v>
      </c>
      <c r="O62" s="26" t="s">
        <v>485</v>
      </c>
    </row>
    <row r="63" spans="1:15">
      <c r="A63" s="13" t="s">
        <v>177</v>
      </c>
      <c r="B63" s="14">
        <v>45714</v>
      </c>
      <c r="C63" s="1" t="s">
        <v>134</v>
      </c>
      <c r="D63" s="1" t="s">
        <v>104</v>
      </c>
      <c r="E63" s="1" t="s">
        <v>126</v>
      </c>
      <c r="F63" s="1" t="s">
        <v>128</v>
      </c>
      <c r="G63" s="1" t="s">
        <v>101</v>
      </c>
      <c r="H63" s="15">
        <v>1</v>
      </c>
      <c r="I63" s="16">
        <v>79.900000000000006</v>
      </c>
      <c r="J63" s="17">
        <v>0.1</v>
      </c>
      <c r="K63" s="18">
        <f t="shared" si="0"/>
        <v>79.900000000000006</v>
      </c>
      <c r="L63" s="18">
        <f t="shared" si="1"/>
        <v>7.9900000000000011</v>
      </c>
      <c r="M63" s="18">
        <f t="shared" si="2"/>
        <v>71.910000000000011</v>
      </c>
      <c r="N63" s="24" t="e">
        <f>VLOOKUP(Vendas[[#This Row],[Mes2]],Planilha1!$J:$K,2,FALSE)</f>
        <v>#N/A</v>
      </c>
      <c r="O63" s="26" t="s">
        <v>485</v>
      </c>
    </row>
    <row r="64" spans="1:15">
      <c r="A64" s="13" t="s">
        <v>160</v>
      </c>
      <c r="B64" s="14">
        <v>45715</v>
      </c>
      <c r="C64" s="1" t="s">
        <v>134</v>
      </c>
      <c r="D64" s="1" t="s">
        <v>104</v>
      </c>
      <c r="E64" s="1" t="s">
        <v>99</v>
      </c>
      <c r="F64" s="1" t="s">
        <v>106</v>
      </c>
      <c r="G64" s="1" t="s">
        <v>116</v>
      </c>
      <c r="H64" s="15">
        <v>1</v>
      </c>
      <c r="I64" s="16">
        <v>79.900000000000006</v>
      </c>
      <c r="J64" s="17">
        <v>0.05</v>
      </c>
      <c r="K64" s="18">
        <f t="shared" si="0"/>
        <v>79.900000000000006</v>
      </c>
      <c r="L64" s="18">
        <f t="shared" si="1"/>
        <v>3.9950000000000006</v>
      </c>
      <c r="M64" s="18">
        <f t="shared" si="2"/>
        <v>75.905000000000001</v>
      </c>
      <c r="N64" s="24" t="e">
        <f>VLOOKUP(Vendas[[#This Row],[Mes2]],Planilha1!$J:$K,2,FALSE)</f>
        <v>#N/A</v>
      </c>
      <c r="O64" s="26" t="s">
        <v>485</v>
      </c>
    </row>
    <row r="65" spans="1:15">
      <c r="A65" s="13" t="s">
        <v>193</v>
      </c>
      <c r="B65" s="14">
        <v>45719</v>
      </c>
      <c r="C65" s="1" t="s">
        <v>113</v>
      </c>
      <c r="D65" s="1" t="s">
        <v>114</v>
      </c>
      <c r="E65" s="1" t="s">
        <v>126</v>
      </c>
      <c r="F65" s="1" t="s">
        <v>100</v>
      </c>
      <c r="G65" s="1" t="s">
        <v>101</v>
      </c>
      <c r="H65" s="15">
        <v>2</v>
      </c>
      <c r="I65" s="16">
        <v>18.899999999999999</v>
      </c>
      <c r="J65" s="17">
        <v>0</v>
      </c>
      <c r="K65" s="18">
        <f t="shared" si="0"/>
        <v>37.799999999999997</v>
      </c>
      <c r="L65" s="18">
        <f t="shared" si="1"/>
        <v>0</v>
      </c>
      <c r="M65" s="18">
        <f t="shared" si="2"/>
        <v>37.799999999999997</v>
      </c>
      <c r="N65" s="24" t="e">
        <f>VLOOKUP(Vendas[[#This Row],[Mes2]],Planilha1!$J:$K,2,FALSE)</f>
        <v>#N/A</v>
      </c>
      <c r="O65" s="26" t="s">
        <v>486</v>
      </c>
    </row>
    <row r="66" spans="1:15">
      <c r="A66" s="13" t="s">
        <v>195</v>
      </c>
      <c r="B66" s="14">
        <v>45719</v>
      </c>
      <c r="C66" s="1" t="s">
        <v>118</v>
      </c>
      <c r="D66" s="1" t="s">
        <v>98</v>
      </c>
      <c r="E66" s="1" t="s">
        <v>126</v>
      </c>
      <c r="F66" s="1" t="s">
        <v>106</v>
      </c>
      <c r="G66" s="1" t="s">
        <v>116</v>
      </c>
      <c r="H66" s="15">
        <v>1</v>
      </c>
      <c r="I66" s="16">
        <v>89.9</v>
      </c>
      <c r="J66" s="17">
        <v>0</v>
      </c>
      <c r="K66" s="18">
        <f t="shared" si="0"/>
        <v>89.9</v>
      </c>
      <c r="L66" s="18">
        <f t="shared" si="1"/>
        <v>0</v>
      </c>
      <c r="M66" s="18">
        <f t="shared" si="2"/>
        <v>89.9</v>
      </c>
      <c r="N66" s="24" t="e">
        <f>VLOOKUP(Vendas[[#This Row],[Mes2]],Planilha1!$J:$K,2,FALSE)</f>
        <v>#N/A</v>
      </c>
      <c r="O66" s="26" t="s">
        <v>486</v>
      </c>
    </row>
    <row r="67" spans="1:15">
      <c r="A67" s="13" t="s">
        <v>198</v>
      </c>
      <c r="B67" s="14">
        <v>45722</v>
      </c>
      <c r="C67" s="1" t="s">
        <v>134</v>
      </c>
      <c r="D67" s="1" t="s">
        <v>104</v>
      </c>
      <c r="E67" s="1" t="s">
        <v>115</v>
      </c>
      <c r="F67" s="1" t="s">
        <v>106</v>
      </c>
      <c r="G67" s="1" t="s">
        <v>107</v>
      </c>
      <c r="H67" s="15">
        <v>1</v>
      </c>
      <c r="I67" s="16">
        <v>79.900000000000006</v>
      </c>
      <c r="J67" s="17">
        <v>0</v>
      </c>
      <c r="K67" s="18">
        <f t="shared" si="0"/>
        <v>79.900000000000006</v>
      </c>
      <c r="L67" s="18">
        <f t="shared" si="1"/>
        <v>0</v>
      </c>
      <c r="M67" s="18">
        <f t="shared" si="2"/>
        <v>79.900000000000006</v>
      </c>
      <c r="N67" s="24" t="e">
        <f>VLOOKUP(Vendas[[#This Row],[Mes2]],Planilha1!$J:$K,2,FALSE)</f>
        <v>#N/A</v>
      </c>
      <c r="O67" s="26" t="s">
        <v>486</v>
      </c>
    </row>
    <row r="68" spans="1:15">
      <c r="A68" s="13" t="s">
        <v>200</v>
      </c>
      <c r="B68" s="14">
        <v>45722</v>
      </c>
      <c r="C68" s="1" t="s">
        <v>113</v>
      </c>
      <c r="D68" s="1" t="s">
        <v>114</v>
      </c>
      <c r="E68" s="1" t="s">
        <v>115</v>
      </c>
      <c r="F68" s="1" t="s">
        <v>106</v>
      </c>
      <c r="G68" s="1" t="s">
        <v>101</v>
      </c>
      <c r="H68" s="15">
        <v>3</v>
      </c>
      <c r="I68" s="16">
        <v>18.899999999999999</v>
      </c>
      <c r="J68" s="17">
        <v>0.05</v>
      </c>
      <c r="K68" s="18">
        <f t="shared" si="0"/>
        <v>56.699999999999996</v>
      </c>
      <c r="L68" s="18">
        <f t="shared" si="1"/>
        <v>2.835</v>
      </c>
      <c r="M68" s="18">
        <f t="shared" si="2"/>
        <v>53.864999999999995</v>
      </c>
      <c r="N68" s="24" t="e">
        <f>VLOOKUP(Vendas[[#This Row],[Mes2]],Planilha1!$J:$K,2,FALSE)</f>
        <v>#N/A</v>
      </c>
      <c r="O68" s="26" t="s">
        <v>486</v>
      </c>
    </row>
    <row r="69" spans="1:15">
      <c r="A69" s="13" t="s">
        <v>189</v>
      </c>
      <c r="B69" s="14">
        <v>45724</v>
      </c>
      <c r="C69" s="1" t="s">
        <v>111</v>
      </c>
      <c r="D69" s="1" t="s">
        <v>104</v>
      </c>
      <c r="E69" s="1" t="s">
        <v>105</v>
      </c>
      <c r="F69" s="1" t="s">
        <v>100</v>
      </c>
      <c r="G69" s="1" t="s">
        <v>101</v>
      </c>
      <c r="H69" s="15">
        <v>2</v>
      </c>
      <c r="I69" s="16">
        <v>28.9</v>
      </c>
      <c r="J69" s="17">
        <v>0</v>
      </c>
      <c r="K69" s="18">
        <f t="shared" ref="K69:K132" si="3">H69*I69</f>
        <v>57.8</v>
      </c>
      <c r="L69" s="18">
        <f t="shared" ref="L69:L132" si="4">K69*J69</f>
        <v>0</v>
      </c>
      <c r="M69" s="18">
        <f t="shared" ref="M69:M132" si="5">K69-L69</f>
        <v>57.8</v>
      </c>
      <c r="N69" s="24" t="e">
        <f>VLOOKUP(Vendas[[#This Row],[Mes2]],Planilha1!$J:$K,2,FALSE)</f>
        <v>#N/A</v>
      </c>
      <c r="O69" s="26" t="s">
        <v>486</v>
      </c>
    </row>
    <row r="70" spans="1:15">
      <c r="A70" s="13" t="s">
        <v>181</v>
      </c>
      <c r="B70" s="14">
        <v>45725</v>
      </c>
      <c r="C70" s="1" t="s">
        <v>111</v>
      </c>
      <c r="D70" s="1" t="s">
        <v>104</v>
      </c>
      <c r="E70" s="1" t="s">
        <v>109</v>
      </c>
      <c r="F70" s="1" t="s">
        <v>100</v>
      </c>
      <c r="G70" s="1" t="s">
        <v>107</v>
      </c>
      <c r="H70" s="15">
        <v>2</v>
      </c>
      <c r="I70" s="16">
        <v>28.9</v>
      </c>
      <c r="J70" s="17">
        <v>0.1</v>
      </c>
      <c r="K70" s="18">
        <f t="shared" si="3"/>
        <v>57.8</v>
      </c>
      <c r="L70" s="18">
        <f t="shared" si="4"/>
        <v>5.78</v>
      </c>
      <c r="M70" s="18">
        <f t="shared" si="5"/>
        <v>52.019999999999996</v>
      </c>
      <c r="N70" s="24" t="e">
        <f>VLOOKUP(Vendas[[#This Row],[Mes2]],Planilha1!$J:$K,2,FALSE)</f>
        <v>#N/A</v>
      </c>
      <c r="O70" s="26" t="s">
        <v>486</v>
      </c>
    </row>
    <row r="71" spans="1:15">
      <c r="A71" s="13" t="s">
        <v>182</v>
      </c>
      <c r="B71" s="14">
        <v>45725</v>
      </c>
      <c r="C71" s="1" t="s">
        <v>134</v>
      </c>
      <c r="D71" s="1" t="s">
        <v>104</v>
      </c>
      <c r="E71" s="1" t="s">
        <v>105</v>
      </c>
      <c r="F71" s="1" t="s">
        <v>100</v>
      </c>
      <c r="G71" s="1" t="s">
        <v>107</v>
      </c>
      <c r="H71" s="15">
        <v>3</v>
      </c>
      <c r="I71" s="16">
        <v>79.900000000000006</v>
      </c>
      <c r="J71" s="17">
        <v>0.15</v>
      </c>
      <c r="K71" s="18">
        <f t="shared" si="3"/>
        <v>239.70000000000002</v>
      </c>
      <c r="L71" s="18">
        <f t="shared" si="4"/>
        <v>35.954999999999998</v>
      </c>
      <c r="M71" s="18">
        <f t="shared" si="5"/>
        <v>203.745</v>
      </c>
      <c r="N71" s="24" t="e">
        <f>VLOOKUP(Vendas[[#This Row],[Mes2]],Planilha1!$J:$K,2,FALSE)</f>
        <v>#N/A</v>
      </c>
      <c r="O71" s="26" t="s">
        <v>486</v>
      </c>
    </row>
    <row r="72" spans="1:15">
      <c r="A72" s="13" t="s">
        <v>185</v>
      </c>
      <c r="B72" s="14">
        <v>45726</v>
      </c>
      <c r="C72" s="1" t="s">
        <v>134</v>
      </c>
      <c r="D72" s="1" t="s">
        <v>104</v>
      </c>
      <c r="E72" s="1" t="s">
        <v>99</v>
      </c>
      <c r="F72" s="1" t="s">
        <v>128</v>
      </c>
      <c r="G72" s="1" t="s">
        <v>107</v>
      </c>
      <c r="H72" s="15">
        <v>1</v>
      </c>
      <c r="I72" s="16">
        <v>79.900000000000006</v>
      </c>
      <c r="J72" s="17">
        <v>0.1</v>
      </c>
      <c r="K72" s="18">
        <f t="shared" si="3"/>
        <v>79.900000000000006</v>
      </c>
      <c r="L72" s="18">
        <f t="shared" si="4"/>
        <v>7.9900000000000011</v>
      </c>
      <c r="M72" s="18">
        <f t="shared" si="5"/>
        <v>71.910000000000011</v>
      </c>
      <c r="N72" s="24" t="e">
        <f>VLOOKUP(Vendas[[#This Row],[Mes2]],Planilha1!$J:$K,2,FALSE)</f>
        <v>#N/A</v>
      </c>
      <c r="O72" s="26" t="s">
        <v>486</v>
      </c>
    </row>
    <row r="73" spans="1:15">
      <c r="A73" s="13" t="s">
        <v>191</v>
      </c>
      <c r="B73" s="14">
        <v>45727</v>
      </c>
      <c r="C73" s="1" t="s">
        <v>118</v>
      </c>
      <c r="D73" s="1" t="s">
        <v>98</v>
      </c>
      <c r="E73" s="1" t="s">
        <v>99</v>
      </c>
      <c r="F73" s="1" t="s">
        <v>106</v>
      </c>
      <c r="G73" s="1" t="s">
        <v>101</v>
      </c>
      <c r="H73" s="15">
        <v>2</v>
      </c>
      <c r="I73" s="16">
        <v>89.9</v>
      </c>
      <c r="J73" s="17">
        <v>0</v>
      </c>
      <c r="K73" s="18">
        <f t="shared" si="3"/>
        <v>179.8</v>
      </c>
      <c r="L73" s="18">
        <f t="shared" si="4"/>
        <v>0</v>
      </c>
      <c r="M73" s="18">
        <f t="shared" si="5"/>
        <v>179.8</v>
      </c>
      <c r="N73" s="24" t="e">
        <f>VLOOKUP(Vendas[[#This Row],[Mes2]],Planilha1!$J:$K,2,FALSE)</f>
        <v>#N/A</v>
      </c>
      <c r="O73" s="26" t="s">
        <v>486</v>
      </c>
    </row>
    <row r="74" spans="1:15">
      <c r="A74" s="13" t="s">
        <v>206</v>
      </c>
      <c r="B74" s="14">
        <v>45727</v>
      </c>
      <c r="C74" s="1" t="s">
        <v>121</v>
      </c>
      <c r="D74" s="1" t="s">
        <v>98</v>
      </c>
      <c r="E74" s="1" t="s">
        <v>126</v>
      </c>
      <c r="F74" s="1" t="s">
        <v>106</v>
      </c>
      <c r="G74" s="1" t="s">
        <v>101</v>
      </c>
      <c r="H74" s="15">
        <v>1</v>
      </c>
      <c r="I74" s="16">
        <v>12.9</v>
      </c>
      <c r="J74" s="17">
        <v>0.15</v>
      </c>
      <c r="K74" s="18">
        <f t="shared" si="3"/>
        <v>12.9</v>
      </c>
      <c r="L74" s="18">
        <f t="shared" si="4"/>
        <v>1.9350000000000001</v>
      </c>
      <c r="M74" s="18">
        <f t="shared" si="5"/>
        <v>10.965</v>
      </c>
      <c r="N74" s="24" t="e">
        <f>VLOOKUP(Vendas[[#This Row],[Mes2]],Planilha1!$J:$K,2,FALSE)</f>
        <v>#N/A</v>
      </c>
      <c r="O74" s="26" t="s">
        <v>486</v>
      </c>
    </row>
    <row r="75" spans="1:15">
      <c r="A75" s="13" t="s">
        <v>197</v>
      </c>
      <c r="B75" s="14">
        <v>45728</v>
      </c>
      <c r="C75" s="1" t="s">
        <v>113</v>
      </c>
      <c r="D75" s="1" t="s">
        <v>114</v>
      </c>
      <c r="E75" s="1" t="s">
        <v>99</v>
      </c>
      <c r="F75" s="1" t="s">
        <v>106</v>
      </c>
      <c r="G75" s="1" t="s">
        <v>107</v>
      </c>
      <c r="H75" s="15">
        <v>1</v>
      </c>
      <c r="I75" s="16">
        <v>18.899999999999999</v>
      </c>
      <c r="J75" s="17">
        <v>0.05</v>
      </c>
      <c r="K75" s="18">
        <f t="shared" si="3"/>
        <v>18.899999999999999</v>
      </c>
      <c r="L75" s="18">
        <f t="shared" si="4"/>
        <v>0.94499999999999995</v>
      </c>
      <c r="M75" s="18">
        <f t="shared" si="5"/>
        <v>17.954999999999998</v>
      </c>
      <c r="N75" s="24" t="e">
        <f>VLOOKUP(Vendas[[#This Row],[Mes2]],Planilha1!$J:$K,2,FALSE)</f>
        <v>#N/A</v>
      </c>
      <c r="O75" s="26" t="s">
        <v>486</v>
      </c>
    </row>
    <row r="76" spans="1:15">
      <c r="A76" s="13" t="s">
        <v>188</v>
      </c>
      <c r="B76" s="14">
        <v>45729</v>
      </c>
      <c r="C76" s="1" t="s">
        <v>123</v>
      </c>
      <c r="D76" s="1" t="s">
        <v>114</v>
      </c>
      <c r="E76" s="1" t="s">
        <v>99</v>
      </c>
      <c r="F76" s="1" t="s">
        <v>106</v>
      </c>
      <c r="G76" s="1" t="s">
        <v>101</v>
      </c>
      <c r="H76" s="15">
        <v>1</v>
      </c>
      <c r="I76" s="16">
        <v>74.900000000000006</v>
      </c>
      <c r="J76" s="17">
        <v>0.15</v>
      </c>
      <c r="K76" s="18">
        <f t="shared" si="3"/>
        <v>74.900000000000006</v>
      </c>
      <c r="L76" s="18">
        <f t="shared" si="4"/>
        <v>11.235000000000001</v>
      </c>
      <c r="M76" s="18">
        <f t="shared" si="5"/>
        <v>63.665000000000006</v>
      </c>
      <c r="N76" s="24" t="e">
        <f>VLOOKUP(Vendas[[#This Row],[Mes2]],Planilha1!$J:$K,2,FALSE)</f>
        <v>#N/A</v>
      </c>
      <c r="O76" s="26" t="s">
        <v>486</v>
      </c>
    </row>
    <row r="77" spans="1:15">
      <c r="A77" s="13" t="s">
        <v>179</v>
      </c>
      <c r="B77" s="14">
        <v>45730</v>
      </c>
      <c r="C77" s="1" t="s">
        <v>97</v>
      </c>
      <c r="D77" s="1" t="s">
        <v>98</v>
      </c>
      <c r="E77" s="1" t="s">
        <v>115</v>
      </c>
      <c r="F77" s="1" t="s">
        <v>100</v>
      </c>
      <c r="G77" s="1" t="s">
        <v>107</v>
      </c>
      <c r="H77" s="15">
        <v>1</v>
      </c>
      <c r="I77" s="16">
        <v>34.9</v>
      </c>
      <c r="J77" s="17">
        <v>0.05</v>
      </c>
      <c r="K77" s="18">
        <f t="shared" si="3"/>
        <v>34.9</v>
      </c>
      <c r="L77" s="18">
        <f t="shared" si="4"/>
        <v>1.7450000000000001</v>
      </c>
      <c r="M77" s="18">
        <f t="shared" si="5"/>
        <v>33.155000000000001</v>
      </c>
      <c r="N77" s="24" t="e">
        <f>VLOOKUP(Vendas[[#This Row],[Mes2]],Planilha1!$J:$K,2,FALSE)</f>
        <v>#N/A</v>
      </c>
      <c r="O77" s="26" t="s">
        <v>486</v>
      </c>
    </row>
    <row r="78" spans="1:15">
      <c r="A78" s="13" t="s">
        <v>201</v>
      </c>
      <c r="B78" s="14">
        <v>45732</v>
      </c>
      <c r="C78" s="1" t="s">
        <v>97</v>
      </c>
      <c r="D78" s="1" t="s">
        <v>98</v>
      </c>
      <c r="E78" s="1" t="s">
        <v>99</v>
      </c>
      <c r="F78" s="1" t="s">
        <v>100</v>
      </c>
      <c r="G78" s="1" t="s">
        <v>101</v>
      </c>
      <c r="H78" s="15">
        <v>1</v>
      </c>
      <c r="I78" s="16">
        <v>34.9</v>
      </c>
      <c r="J78" s="17">
        <v>0.05</v>
      </c>
      <c r="K78" s="18">
        <f t="shared" si="3"/>
        <v>34.9</v>
      </c>
      <c r="L78" s="18">
        <f t="shared" si="4"/>
        <v>1.7450000000000001</v>
      </c>
      <c r="M78" s="18">
        <f t="shared" si="5"/>
        <v>33.155000000000001</v>
      </c>
      <c r="N78" s="24" t="e">
        <f>VLOOKUP(Vendas[[#This Row],[Mes2]],Planilha1!$J:$K,2,FALSE)</f>
        <v>#N/A</v>
      </c>
      <c r="O78" s="26" t="s">
        <v>486</v>
      </c>
    </row>
    <row r="79" spans="1:15">
      <c r="A79" s="13" t="s">
        <v>196</v>
      </c>
      <c r="B79" s="14">
        <v>45733</v>
      </c>
      <c r="C79" s="1" t="s">
        <v>123</v>
      </c>
      <c r="D79" s="1" t="s">
        <v>114</v>
      </c>
      <c r="E79" s="1" t="s">
        <v>99</v>
      </c>
      <c r="F79" s="1" t="s">
        <v>128</v>
      </c>
      <c r="G79" s="1" t="s">
        <v>107</v>
      </c>
      <c r="H79" s="15">
        <v>2</v>
      </c>
      <c r="I79" s="16">
        <v>74.900000000000006</v>
      </c>
      <c r="J79" s="17">
        <v>0.15</v>
      </c>
      <c r="K79" s="18">
        <f t="shared" si="3"/>
        <v>149.80000000000001</v>
      </c>
      <c r="L79" s="18">
        <f t="shared" si="4"/>
        <v>22.470000000000002</v>
      </c>
      <c r="M79" s="18">
        <f t="shared" si="5"/>
        <v>127.33000000000001</v>
      </c>
      <c r="N79" s="24" t="e">
        <f>VLOOKUP(Vendas[[#This Row],[Mes2]],Planilha1!$J:$K,2,FALSE)</f>
        <v>#N/A</v>
      </c>
      <c r="O79" s="26" t="s">
        <v>486</v>
      </c>
    </row>
    <row r="80" spans="1:15">
      <c r="A80" s="13" t="s">
        <v>204</v>
      </c>
      <c r="B80" s="14">
        <v>45737</v>
      </c>
      <c r="C80" s="1" t="s">
        <v>113</v>
      </c>
      <c r="D80" s="1" t="s">
        <v>114</v>
      </c>
      <c r="E80" s="1" t="s">
        <v>126</v>
      </c>
      <c r="F80" s="1" t="s">
        <v>100</v>
      </c>
      <c r="G80" s="1" t="s">
        <v>143</v>
      </c>
      <c r="H80" s="15">
        <v>1</v>
      </c>
      <c r="I80" s="16">
        <v>18.899999999999999</v>
      </c>
      <c r="J80" s="17">
        <v>0.05</v>
      </c>
      <c r="K80" s="18">
        <f t="shared" si="3"/>
        <v>18.899999999999999</v>
      </c>
      <c r="L80" s="18">
        <f t="shared" si="4"/>
        <v>0.94499999999999995</v>
      </c>
      <c r="M80" s="18">
        <f t="shared" si="5"/>
        <v>17.954999999999998</v>
      </c>
      <c r="N80" s="24" t="e">
        <f>VLOOKUP(Vendas[[#This Row],[Mes2]],Planilha1!$J:$K,2,FALSE)</f>
        <v>#N/A</v>
      </c>
      <c r="O80" s="26" t="s">
        <v>486</v>
      </c>
    </row>
    <row r="81" spans="1:15">
      <c r="A81" s="13" t="s">
        <v>180</v>
      </c>
      <c r="B81" s="14">
        <v>45738</v>
      </c>
      <c r="C81" s="1" t="s">
        <v>97</v>
      </c>
      <c r="D81" s="1" t="s">
        <v>98</v>
      </c>
      <c r="E81" s="1" t="s">
        <v>105</v>
      </c>
      <c r="F81" s="1" t="s">
        <v>106</v>
      </c>
      <c r="G81" s="1" t="s">
        <v>107</v>
      </c>
      <c r="H81" s="15">
        <v>1</v>
      </c>
      <c r="I81" s="16">
        <v>34.9</v>
      </c>
      <c r="J81" s="17">
        <v>0.05</v>
      </c>
      <c r="K81" s="18">
        <f t="shared" si="3"/>
        <v>34.9</v>
      </c>
      <c r="L81" s="18">
        <f t="shared" si="4"/>
        <v>1.7450000000000001</v>
      </c>
      <c r="M81" s="18">
        <f t="shared" si="5"/>
        <v>33.155000000000001</v>
      </c>
      <c r="N81" s="24" t="e">
        <f>VLOOKUP(Vendas[[#This Row],[Mes2]],Planilha1!$J:$K,2,FALSE)</f>
        <v>#N/A</v>
      </c>
      <c r="O81" s="26" t="s">
        <v>486</v>
      </c>
    </row>
    <row r="82" spans="1:15">
      <c r="A82" s="13" t="s">
        <v>208</v>
      </c>
      <c r="B82" s="14">
        <v>45738</v>
      </c>
      <c r="C82" s="1" t="s">
        <v>121</v>
      </c>
      <c r="D82" s="1" t="s">
        <v>98</v>
      </c>
      <c r="E82" s="1" t="s">
        <v>99</v>
      </c>
      <c r="F82" s="1" t="s">
        <v>106</v>
      </c>
      <c r="G82" s="1" t="s">
        <v>143</v>
      </c>
      <c r="H82" s="15">
        <v>1</v>
      </c>
      <c r="I82" s="16">
        <v>12.9</v>
      </c>
      <c r="J82" s="17">
        <v>0</v>
      </c>
      <c r="K82" s="18">
        <f t="shared" si="3"/>
        <v>12.9</v>
      </c>
      <c r="L82" s="18">
        <f t="shared" si="4"/>
        <v>0</v>
      </c>
      <c r="M82" s="18">
        <f t="shared" si="5"/>
        <v>12.9</v>
      </c>
      <c r="N82" s="24" t="e">
        <f>VLOOKUP(Vendas[[#This Row],[Mes2]],Planilha1!$J:$K,2,FALSE)</f>
        <v>#N/A</v>
      </c>
      <c r="O82" s="26" t="s">
        <v>486</v>
      </c>
    </row>
    <row r="83" spans="1:15">
      <c r="A83" s="13" t="s">
        <v>199</v>
      </c>
      <c r="B83" s="14">
        <v>45739</v>
      </c>
      <c r="C83" s="1" t="s">
        <v>121</v>
      </c>
      <c r="D83" s="1" t="s">
        <v>98</v>
      </c>
      <c r="E83" s="1" t="s">
        <v>99</v>
      </c>
      <c r="F83" s="1" t="s">
        <v>100</v>
      </c>
      <c r="G83" s="1" t="s">
        <v>107</v>
      </c>
      <c r="H83" s="15">
        <v>3</v>
      </c>
      <c r="I83" s="16">
        <v>12.9</v>
      </c>
      <c r="J83" s="17">
        <v>0.05</v>
      </c>
      <c r="K83" s="18">
        <f t="shared" si="3"/>
        <v>38.700000000000003</v>
      </c>
      <c r="L83" s="18">
        <f t="shared" si="4"/>
        <v>1.9350000000000003</v>
      </c>
      <c r="M83" s="18">
        <f t="shared" si="5"/>
        <v>36.765000000000001</v>
      </c>
      <c r="N83" s="24" t="e">
        <f>VLOOKUP(Vendas[[#This Row],[Mes2]],Planilha1!$J:$K,2,FALSE)</f>
        <v>#N/A</v>
      </c>
      <c r="O83" s="26" t="s">
        <v>486</v>
      </c>
    </row>
    <row r="84" spans="1:15">
      <c r="A84" s="13" t="s">
        <v>183</v>
      </c>
      <c r="B84" s="14">
        <v>45740</v>
      </c>
      <c r="C84" s="1" t="s">
        <v>103</v>
      </c>
      <c r="D84" s="1" t="s">
        <v>104</v>
      </c>
      <c r="E84" s="1" t="s">
        <v>109</v>
      </c>
      <c r="F84" s="1" t="s">
        <v>100</v>
      </c>
      <c r="G84" s="1" t="s">
        <v>107</v>
      </c>
      <c r="H84" s="15">
        <v>1</v>
      </c>
      <c r="I84" s="16">
        <v>39.9</v>
      </c>
      <c r="J84" s="17">
        <v>0</v>
      </c>
      <c r="K84" s="18">
        <f t="shared" si="3"/>
        <v>39.9</v>
      </c>
      <c r="L84" s="18">
        <f t="shared" si="4"/>
        <v>0</v>
      </c>
      <c r="M84" s="18">
        <f t="shared" si="5"/>
        <v>39.9</v>
      </c>
      <c r="N84" s="24" t="e">
        <f>VLOOKUP(Vendas[[#This Row],[Mes2]],Planilha1!$J:$K,2,FALSE)</f>
        <v>#N/A</v>
      </c>
      <c r="O84" s="26" t="s">
        <v>486</v>
      </c>
    </row>
    <row r="85" spans="1:15">
      <c r="A85" s="13" t="s">
        <v>187</v>
      </c>
      <c r="B85" s="14">
        <v>45742</v>
      </c>
      <c r="C85" s="1" t="s">
        <v>121</v>
      </c>
      <c r="D85" s="1" t="s">
        <v>98</v>
      </c>
      <c r="E85" s="1" t="s">
        <v>99</v>
      </c>
      <c r="F85" s="1" t="s">
        <v>106</v>
      </c>
      <c r="G85" s="1" t="s">
        <v>116</v>
      </c>
      <c r="H85" s="15">
        <v>2</v>
      </c>
      <c r="I85" s="16">
        <v>12.9</v>
      </c>
      <c r="J85" s="17">
        <v>0</v>
      </c>
      <c r="K85" s="18">
        <f t="shared" si="3"/>
        <v>25.8</v>
      </c>
      <c r="L85" s="18">
        <f t="shared" si="4"/>
        <v>0</v>
      </c>
      <c r="M85" s="18">
        <f t="shared" si="5"/>
        <v>25.8</v>
      </c>
      <c r="N85" s="24" t="e">
        <f>VLOOKUP(Vendas[[#This Row],[Mes2]],Planilha1!$J:$K,2,FALSE)</f>
        <v>#N/A</v>
      </c>
      <c r="O85" s="26" t="s">
        <v>486</v>
      </c>
    </row>
    <row r="86" spans="1:15">
      <c r="A86" s="13" t="s">
        <v>194</v>
      </c>
      <c r="B86" s="14">
        <v>45742</v>
      </c>
      <c r="C86" s="1" t="s">
        <v>111</v>
      </c>
      <c r="D86" s="1" t="s">
        <v>104</v>
      </c>
      <c r="E86" s="1" t="s">
        <v>99</v>
      </c>
      <c r="F86" s="1" t="s">
        <v>106</v>
      </c>
      <c r="G86" s="1" t="s">
        <v>107</v>
      </c>
      <c r="H86" s="15">
        <v>3</v>
      </c>
      <c r="I86" s="16">
        <v>28.9</v>
      </c>
      <c r="J86" s="17">
        <v>0</v>
      </c>
      <c r="K86" s="18">
        <f t="shared" si="3"/>
        <v>86.699999999999989</v>
      </c>
      <c r="L86" s="18">
        <f t="shared" si="4"/>
        <v>0</v>
      </c>
      <c r="M86" s="18">
        <f t="shared" si="5"/>
        <v>86.699999999999989</v>
      </c>
      <c r="N86" s="24" t="e">
        <f>VLOOKUP(Vendas[[#This Row],[Mes2]],Planilha1!$J:$K,2,FALSE)</f>
        <v>#N/A</v>
      </c>
      <c r="O86" s="26" t="s">
        <v>486</v>
      </c>
    </row>
    <row r="87" spans="1:15">
      <c r="A87" s="13" t="s">
        <v>186</v>
      </c>
      <c r="B87" s="14">
        <v>45743</v>
      </c>
      <c r="C87" s="1" t="s">
        <v>103</v>
      </c>
      <c r="D87" s="1" t="s">
        <v>104</v>
      </c>
      <c r="E87" s="1" t="s">
        <v>99</v>
      </c>
      <c r="F87" s="1" t="s">
        <v>100</v>
      </c>
      <c r="G87" s="1" t="s">
        <v>107</v>
      </c>
      <c r="H87" s="15">
        <v>3</v>
      </c>
      <c r="I87" s="16">
        <v>39.9</v>
      </c>
      <c r="J87" s="17">
        <v>0.15</v>
      </c>
      <c r="K87" s="18">
        <f t="shared" si="3"/>
        <v>119.69999999999999</v>
      </c>
      <c r="L87" s="18">
        <f t="shared" si="4"/>
        <v>17.954999999999998</v>
      </c>
      <c r="M87" s="18">
        <f t="shared" si="5"/>
        <v>101.74499999999999</v>
      </c>
      <c r="N87" s="24" t="e">
        <f>VLOOKUP(Vendas[[#This Row],[Mes2]],Planilha1!$J:$K,2,FALSE)</f>
        <v>#N/A</v>
      </c>
      <c r="O87" s="26" t="s">
        <v>486</v>
      </c>
    </row>
    <row r="88" spans="1:15">
      <c r="A88" s="13" t="s">
        <v>190</v>
      </c>
      <c r="B88" s="14">
        <v>45744</v>
      </c>
      <c r="C88" s="1" t="s">
        <v>97</v>
      </c>
      <c r="D88" s="1" t="s">
        <v>98</v>
      </c>
      <c r="E88" s="1" t="s">
        <v>109</v>
      </c>
      <c r="F88" s="1" t="s">
        <v>128</v>
      </c>
      <c r="G88" s="1" t="s">
        <v>107</v>
      </c>
      <c r="H88" s="15">
        <v>1</v>
      </c>
      <c r="I88" s="16">
        <v>34.9</v>
      </c>
      <c r="J88" s="17">
        <v>0.1</v>
      </c>
      <c r="K88" s="18">
        <f t="shared" si="3"/>
        <v>34.9</v>
      </c>
      <c r="L88" s="18">
        <f t="shared" si="4"/>
        <v>3.49</v>
      </c>
      <c r="M88" s="18">
        <f t="shared" si="5"/>
        <v>31.409999999999997</v>
      </c>
      <c r="N88" s="24" t="e">
        <f>VLOOKUP(Vendas[[#This Row],[Mes2]],Planilha1!$J:$K,2,FALSE)</f>
        <v>#N/A</v>
      </c>
      <c r="O88" s="26" t="s">
        <v>486</v>
      </c>
    </row>
    <row r="89" spans="1:15">
      <c r="A89" s="13" t="s">
        <v>192</v>
      </c>
      <c r="B89" s="14">
        <v>45744</v>
      </c>
      <c r="C89" s="1" t="s">
        <v>111</v>
      </c>
      <c r="D89" s="1" t="s">
        <v>104</v>
      </c>
      <c r="E89" s="1" t="s">
        <v>105</v>
      </c>
      <c r="F89" s="1" t="s">
        <v>100</v>
      </c>
      <c r="G89" s="1" t="s">
        <v>107</v>
      </c>
      <c r="H89" s="15">
        <v>2</v>
      </c>
      <c r="I89" s="16">
        <v>28.9</v>
      </c>
      <c r="J89" s="17">
        <v>0.1</v>
      </c>
      <c r="K89" s="18">
        <f t="shared" si="3"/>
        <v>57.8</v>
      </c>
      <c r="L89" s="18">
        <f t="shared" si="4"/>
        <v>5.78</v>
      </c>
      <c r="M89" s="18">
        <f t="shared" si="5"/>
        <v>52.019999999999996</v>
      </c>
      <c r="N89" s="24" t="e">
        <f>VLOOKUP(Vendas[[#This Row],[Mes2]],Planilha1!$J:$K,2,FALSE)</f>
        <v>#N/A</v>
      </c>
      <c r="O89" s="26" t="s">
        <v>486</v>
      </c>
    </row>
    <row r="90" spans="1:15">
      <c r="A90" s="13" t="s">
        <v>203</v>
      </c>
      <c r="B90" s="14">
        <v>45744</v>
      </c>
      <c r="C90" s="1" t="s">
        <v>121</v>
      </c>
      <c r="D90" s="1" t="s">
        <v>98</v>
      </c>
      <c r="E90" s="1" t="s">
        <v>105</v>
      </c>
      <c r="F90" s="1" t="s">
        <v>100</v>
      </c>
      <c r="G90" s="1" t="s">
        <v>143</v>
      </c>
      <c r="H90" s="15">
        <v>2</v>
      </c>
      <c r="I90" s="16">
        <v>12.9</v>
      </c>
      <c r="J90" s="17">
        <v>0.15</v>
      </c>
      <c r="K90" s="18">
        <f t="shared" si="3"/>
        <v>25.8</v>
      </c>
      <c r="L90" s="18">
        <f t="shared" si="4"/>
        <v>3.87</v>
      </c>
      <c r="M90" s="18">
        <f t="shared" si="5"/>
        <v>21.93</v>
      </c>
      <c r="N90" s="24" t="e">
        <f>VLOOKUP(Vendas[[#This Row],[Mes2]],Planilha1!$J:$K,2,FALSE)</f>
        <v>#N/A</v>
      </c>
      <c r="O90" s="26" t="s">
        <v>486</v>
      </c>
    </row>
    <row r="91" spans="1:15">
      <c r="A91" s="13" t="s">
        <v>184</v>
      </c>
      <c r="B91" s="14">
        <v>45745</v>
      </c>
      <c r="C91" s="1" t="s">
        <v>103</v>
      </c>
      <c r="D91" s="1" t="s">
        <v>104</v>
      </c>
      <c r="E91" s="1" t="s">
        <v>99</v>
      </c>
      <c r="F91" s="1" t="s">
        <v>100</v>
      </c>
      <c r="G91" s="1" t="s">
        <v>101</v>
      </c>
      <c r="H91" s="15">
        <v>1</v>
      </c>
      <c r="I91" s="16">
        <v>39.9</v>
      </c>
      <c r="J91" s="17">
        <v>0.1</v>
      </c>
      <c r="K91" s="18">
        <f t="shared" si="3"/>
        <v>39.9</v>
      </c>
      <c r="L91" s="18">
        <f t="shared" si="4"/>
        <v>3.99</v>
      </c>
      <c r="M91" s="18">
        <f t="shared" si="5"/>
        <v>35.909999999999997</v>
      </c>
      <c r="N91" s="24" t="e">
        <f>VLOOKUP(Vendas[[#This Row],[Mes2]],Planilha1!$J:$K,2,FALSE)</f>
        <v>#N/A</v>
      </c>
      <c r="O91" s="26" t="s">
        <v>486</v>
      </c>
    </row>
    <row r="92" spans="1:15">
      <c r="A92" s="13" t="s">
        <v>202</v>
      </c>
      <c r="B92" s="14">
        <v>45746</v>
      </c>
      <c r="C92" s="1" t="s">
        <v>121</v>
      </c>
      <c r="D92" s="1" t="s">
        <v>98</v>
      </c>
      <c r="E92" s="1" t="s">
        <v>99</v>
      </c>
      <c r="F92" s="1" t="s">
        <v>128</v>
      </c>
      <c r="G92" s="1" t="s">
        <v>107</v>
      </c>
      <c r="H92" s="15">
        <v>2</v>
      </c>
      <c r="I92" s="16">
        <v>12.9</v>
      </c>
      <c r="J92" s="17">
        <v>0.15</v>
      </c>
      <c r="K92" s="18">
        <f t="shared" si="3"/>
        <v>25.8</v>
      </c>
      <c r="L92" s="18">
        <f t="shared" si="4"/>
        <v>3.87</v>
      </c>
      <c r="M92" s="18">
        <f t="shared" si="5"/>
        <v>21.93</v>
      </c>
      <c r="N92" s="24" t="e">
        <f>VLOOKUP(Vendas[[#This Row],[Mes2]],Planilha1!$J:$K,2,FALSE)</f>
        <v>#N/A</v>
      </c>
      <c r="O92" s="26" t="s">
        <v>486</v>
      </c>
    </row>
    <row r="93" spans="1:15">
      <c r="A93" s="13" t="s">
        <v>205</v>
      </c>
      <c r="B93" s="14">
        <v>45747</v>
      </c>
      <c r="C93" s="1" t="s">
        <v>121</v>
      </c>
      <c r="D93" s="1" t="s">
        <v>98</v>
      </c>
      <c r="E93" s="1" t="s">
        <v>109</v>
      </c>
      <c r="F93" s="1" t="s">
        <v>100</v>
      </c>
      <c r="G93" s="1" t="s">
        <v>101</v>
      </c>
      <c r="H93" s="15">
        <v>1</v>
      </c>
      <c r="I93" s="16">
        <v>12.9</v>
      </c>
      <c r="J93" s="17">
        <v>0.1</v>
      </c>
      <c r="K93" s="18">
        <f t="shared" si="3"/>
        <v>12.9</v>
      </c>
      <c r="L93" s="18">
        <f t="shared" si="4"/>
        <v>1.29</v>
      </c>
      <c r="M93" s="18">
        <f t="shared" si="5"/>
        <v>11.61</v>
      </c>
      <c r="N93" s="24" t="e">
        <f>VLOOKUP(Vendas[[#This Row],[Mes2]],Planilha1!$J:$K,2,FALSE)</f>
        <v>#N/A</v>
      </c>
      <c r="O93" s="26" t="s">
        <v>486</v>
      </c>
    </row>
    <row r="94" spans="1:15">
      <c r="A94" s="13" t="s">
        <v>207</v>
      </c>
      <c r="B94" s="14">
        <v>45747</v>
      </c>
      <c r="C94" s="1" t="s">
        <v>111</v>
      </c>
      <c r="D94" s="1" t="s">
        <v>104</v>
      </c>
      <c r="E94" s="1" t="s">
        <v>109</v>
      </c>
      <c r="F94" s="1" t="s">
        <v>100</v>
      </c>
      <c r="G94" s="1" t="s">
        <v>143</v>
      </c>
      <c r="H94" s="15">
        <v>3</v>
      </c>
      <c r="I94" s="16">
        <v>28.9</v>
      </c>
      <c r="J94" s="17">
        <v>0</v>
      </c>
      <c r="K94" s="18">
        <f t="shared" si="3"/>
        <v>86.699999999999989</v>
      </c>
      <c r="L94" s="18">
        <f t="shared" si="4"/>
        <v>0</v>
      </c>
      <c r="M94" s="18">
        <f t="shared" si="5"/>
        <v>86.699999999999989</v>
      </c>
      <c r="N94" s="24" t="e">
        <f>VLOOKUP(Vendas[[#This Row],[Mes2]],Planilha1!$J:$K,2,FALSE)</f>
        <v>#N/A</v>
      </c>
      <c r="O94" s="26" t="s">
        <v>486</v>
      </c>
    </row>
    <row r="95" spans="1:15">
      <c r="A95" s="13" t="s">
        <v>236</v>
      </c>
      <c r="B95" s="14">
        <v>45748</v>
      </c>
      <c r="C95" s="1" t="s">
        <v>134</v>
      </c>
      <c r="D95" s="1" t="s">
        <v>104</v>
      </c>
      <c r="E95" s="1" t="s">
        <v>99</v>
      </c>
      <c r="F95" s="1" t="s">
        <v>100</v>
      </c>
      <c r="G95" s="1" t="s">
        <v>107</v>
      </c>
      <c r="H95" s="15">
        <v>1</v>
      </c>
      <c r="I95" s="16">
        <v>79.900000000000006</v>
      </c>
      <c r="J95" s="17">
        <v>0.05</v>
      </c>
      <c r="K95" s="18">
        <f t="shared" si="3"/>
        <v>79.900000000000006</v>
      </c>
      <c r="L95" s="18">
        <f t="shared" si="4"/>
        <v>3.9950000000000006</v>
      </c>
      <c r="M95" s="18">
        <f t="shared" si="5"/>
        <v>75.905000000000001</v>
      </c>
      <c r="N95" s="24" t="e">
        <f>VLOOKUP(Vendas[[#This Row],[Mes2]],Planilha1!$J:$K,2,FALSE)</f>
        <v>#N/A</v>
      </c>
      <c r="O95" s="26" t="s">
        <v>487</v>
      </c>
    </row>
    <row r="96" spans="1:15">
      <c r="A96" s="13" t="s">
        <v>237</v>
      </c>
      <c r="B96" s="14">
        <v>45750</v>
      </c>
      <c r="C96" s="1" t="s">
        <v>97</v>
      </c>
      <c r="D96" s="1" t="s">
        <v>98</v>
      </c>
      <c r="E96" s="1" t="s">
        <v>115</v>
      </c>
      <c r="F96" s="1" t="s">
        <v>106</v>
      </c>
      <c r="G96" s="1" t="s">
        <v>116</v>
      </c>
      <c r="H96" s="15">
        <v>2</v>
      </c>
      <c r="I96" s="16">
        <v>34.9</v>
      </c>
      <c r="J96" s="17">
        <v>0</v>
      </c>
      <c r="K96" s="18">
        <f t="shared" si="3"/>
        <v>69.8</v>
      </c>
      <c r="L96" s="18">
        <f t="shared" si="4"/>
        <v>0</v>
      </c>
      <c r="M96" s="18">
        <f t="shared" si="5"/>
        <v>69.8</v>
      </c>
      <c r="N96" s="24" t="e">
        <f>VLOOKUP(Vendas[[#This Row],[Mes2]],Planilha1!$J:$K,2,FALSE)</f>
        <v>#N/A</v>
      </c>
      <c r="O96" s="26" t="s">
        <v>487</v>
      </c>
    </row>
    <row r="97" spans="1:15">
      <c r="A97" s="13" t="s">
        <v>238</v>
      </c>
      <c r="B97" s="14">
        <v>45751</v>
      </c>
      <c r="C97" s="1" t="s">
        <v>111</v>
      </c>
      <c r="D97" s="1" t="s">
        <v>104</v>
      </c>
      <c r="E97" s="1" t="s">
        <v>99</v>
      </c>
      <c r="F97" s="1" t="s">
        <v>100</v>
      </c>
      <c r="G97" s="1" t="s">
        <v>101</v>
      </c>
      <c r="H97" s="15">
        <v>1</v>
      </c>
      <c r="I97" s="16">
        <v>28.9</v>
      </c>
      <c r="J97" s="17">
        <v>0.1</v>
      </c>
      <c r="K97" s="18">
        <f t="shared" si="3"/>
        <v>28.9</v>
      </c>
      <c r="L97" s="18">
        <f t="shared" si="4"/>
        <v>2.89</v>
      </c>
      <c r="M97" s="18">
        <f t="shared" si="5"/>
        <v>26.009999999999998</v>
      </c>
      <c r="N97" s="24" t="e">
        <f>VLOOKUP(Vendas[[#This Row],[Mes2]],Planilha1!$J:$K,2,FALSE)</f>
        <v>#N/A</v>
      </c>
      <c r="O97" s="26" t="s">
        <v>487</v>
      </c>
    </row>
    <row r="98" spans="1:15">
      <c r="A98" s="13" t="s">
        <v>216</v>
      </c>
      <c r="B98" s="14">
        <v>45754</v>
      </c>
      <c r="C98" s="1" t="s">
        <v>123</v>
      </c>
      <c r="D98" s="1" t="s">
        <v>114</v>
      </c>
      <c r="E98" s="1" t="s">
        <v>109</v>
      </c>
      <c r="F98" s="1" t="s">
        <v>128</v>
      </c>
      <c r="G98" s="1" t="s">
        <v>101</v>
      </c>
      <c r="H98" s="15">
        <v>1</v>
      </c>
      <c r="I98" s="16">
        <v>74.900000000000006</v>
      </c>
      <c r="J98" s="17">
        <v>0.05</v>
      </c>
      <c r="K98" s="18">
        <f t="shared" si="3"/>
        <v>74.900000000000006</v>
      </c>
      <c r="L98" s="18">
        <f t="shared" si="4"/>
        <v>3.7450000000000006</v>
      </c>
      <c r="M98" s="18">
        <f t="shared" si="5"/>
        <v>71.155000000000001</v>
      </c>
      <c r="N98" s="24" t="e">
        <f>VLOOKUP(Vendas[[#This Row],[Mes2]],Planilha1!$J:$K,2,FALSE)</f>
        <v>#N/A</v>
      </c>
      <c r="O98" s="26" t="s">
        <v>487</v>
      </c>
    </row>
    <row r="99" spans="1:15">
      <c r="A99" s="13" t="s">
        <v>217</v>
      </c>
      <c r="B99" s="14">
        <v>45754</v>
      </c>
      <c r="C99" s="1" t="s">
        <v>111</v>
      </c>
      <c r="D99" s="1" t="s">
        <v>104</v>
      </c>
      <c r="E99" s="1" t="s">
        <v>109</v>
      </c>
      <c r="F99" s="1" t="s">
        <v>100</v>
      </c>
      <c r="G99" s="1" t="s">
        <v>101</v>
      </c>
      <c r="H99" s="15">
        <v>2</v>
      </c>
      <c r="I99" s="16">
        <v>28.9</v>
      </c>
      <c r="J99" s="17">
        <v>0.15</v>
      </c>
      <c r="K99" s="18">
        <f t="shared" si="3"/>
        <v>57.8</v>
      </c>
      <c r="L99" s="18">
        <f t="shared" si="4"/>
        <v>8.67</v>
      </c>
      <c r="M99" s="18">
        <f t="shared" si="5"/>
        <v>49.129999999999995</v>
      </c>
      <c r="N99" s="24" t="e">
        <f>VLOOKUP(Vendas[[#This Row],[Mes2]],Planilha1!$J:$K,2,FALSE)</f>
        <v>#N/A</v>
      </c>
      <c r="O99" s="26" t="s">
        <v>487</v>
      </c>
    </row>
    <row r="100" spans="1:15">
      <c r="A100" s="13" t="s">
        <v>224</v>
      </c>
      <c r="B100" s="14">
        <v>45755</v>
      </c>
      <c r="C100" s="1" t="s">
        <v>111</v>
      </c>
      <c r="D100" s="1" t="s">
        <v>104</v>
      </c>
      <c r="E100" s="1" t="s">
        <v>99</v>
      </c>
      <c r="F100" s="1" t="s">
        <v>106</v>
      </c>
      <c r="G100" s="1" t="s">
        <v>101</v>
      </c>
      <c r="H100" s="15">
        <v>3</v>
      </c>
      <c r="I100" s="16">
        <v>28.9</v>
      </c>
      <c r="J100" s="17">
        <v>0</v>
      </c>
      <c r="K100" s="18">
        <f t="shared" si="3"/>
        <v>86.699999999999989</v>
      </c>
      <c r="L100" s="18">
        <f t="shared" si="4"/>
        <v>0</v>
      </c>
      <c r="M100" s="18">
        <f t="shared" si="5"/>
        <v>86.699999999999989</v>
      </c>
      <c r="N100" s="24" t="e">
        <f>VLOOKUP(Vendas[[#This Row],[Mes2]],Planilha1!$J:$K,2,FALSE)</f>
        <v>#N/A</v>
      </c>
      <c r="O100" s="26" t="s">
        <v>487</v>
      </c>
    </row>
    <row r="101" spans="1:15">
      <c r="A101" s="13" t="s">
        <v>235</v>
      </c>
      <c r="B101" s="14">
        <v>45755</v>
      </c>
      <c r="C101" s="1" t="s">
        <v>103</v>
      </c>
      <c r="D101" s="1" t="s">
        <v>104</v>
      </c>
      <c r="E101" s="1" t="s">
        <v>115</v>
      </c>
      <c r="F101" s="1" t="s">
        <v>100</v>
      </c>
      <c r="G101" s="1" t="s">
        <v>101</v>
      </c>
      <c r="H101" s="15">
        <v>1</v>
      </c>
      <c r="I101" s="16">
        <v>39.9</v>
      </c>
      <c r="J101" s="17">
        <v>0.15</v>
      </c>
      <c r="K101" s="18">
        <f t="shared" si="3"/>
        <v>39.9</v>
      </c>
      <c r="L101" s="18">
        <f t="shared" si="4"/>
        <v>5.9849999999999994</v>
      </c>
      <c r="M101" s="18">
        <f t="shared" si="5"/>
        <v>33.914999999999999</v>
      </c>
      <c r="N101" s="24" t="e">
        <f>VLOOKUP(Vendas[[#This Row],[Mes2]],Planilha1!$J:$K,2,FALSE)</f>
        <v>#N/A</v>
      </c>
      <c r="O101" s="26" t="s">
        <v>487</v>
      </c>
    </row>
    <row r="102" spans="1:15">
      <c r="A102" s="13" t="s">
        <v>210</v>
      </c>
      <c r="B102" s="14">
        <v>45756</v>
      </c>
      <c r="C102" s="1" t="s">
        <v>134</v>
      </c>
      <c r="D102" s="1" t="s">
        <v>104</v>
      </c>
      <c r="E102" s="1" t="s">
        <v>115</v>
      </c>
      <c r="F102" s="1" t="s">
        <v>100</v>
      </c>
      <c r="G102" s="1" t="s">
        <v>107</v>
      </c>
      <c r="H102" s="15">
        <v>1</v>
      </c>
      <c r="I102" s="16">
        <v>79.900000000000006</v>
      </c>
      <c r="J102" s="17">
        <v>0.05</v>
      </c>
      <c r="K102" s="18">
        <f t="shared" si="3"/>
        <v>79.900000000000006</v>
      </c>
      <c r="L102" s="18">
        <f t="shared" si="4"/>
        <v>3.9950000000000006</v>
      </c>
      <c r="M102" s="18">
        <f t="shared" si="5"/>
        <v>75.905000000000001</v>
      </c>
      <c r="N102" s="24" t="e">
        <f>VLOOKUP(Vendas[[#This Row],[Mes2]],Planilha1!$J:$K,2,FALSE)</f>
        <v>#N/A</v>
      </c>
      <c r="O102" s="26" t="s">
        <v>487</v>
      </c>
    </row>
    <row r="103" spans="1:15">
      <c r="A103" s="13" t="s">
        <v>232</v>
      </c>
      <c r="B103" s="14">
        <v>45756</v>
      </c>
      <c r="C103" s="1" t="s">
        <v>123</v>
      </c>
      <c r="D103" s="1" t="s">
        <v>114</v>
      </c>
      <c r="E103" s="1" t="s">
        <v>105</v>
      </c>
      <c r="F103" s="1" t="s">
        <v>100</v>
      </c>
      <c r="G103" s="1" t="s">
        <v>116</v>
      </c>
      <c r="H103" s="15">
        <v>2</v>
      </c>
      <c r="I103" s="16">
        <v>74.900000000000006</v>
      </c>
      <c r="J103" s="17">
        <v>0</v>
      </c>
      <c r="K103" s="18">
        <f t="shared" si="3"/>
        <v>149.80000000000001</v>
      </c>
      <c r="L103" s="18">
        <f t="shared" si="4"/>
        <v>0</v>
      </c>
      <c r="M103" s="18">
        <f t="shared" si="5"/>
        <v>149.80000000000001</v>
      </c>
      <c r="N103" s="24" t="e">
        <f>VLOOKUP(Vendas[[#This Row],[Mes2]],Planilha1!$J:$K,2,FALSE)</f>
        <v>#N/A</v>
      </c>
      <c r="O103" s="26" t="s">
        <v>487</v>
      </c>
    </row>
    <row r="104" spans="1:15">
      <c r="A104" s="13" t="s">
        <v>228</v>
      </c>
      <c r="B104" s="14">
        <v>45758</v>
      </c>
      <c r="C104" s="1" t="s">
        <v>113</v>
      </c>
      <c r="D104" s="1" t="s">
        <v>114</v>
      </c>
      <c r="E104" s="1" t="s">
        <v>99</v>
      </c>
      <c r="F104" s="1" t="s">
        <v>106</v>
      </c>
      <c r="G104" s="1" t="s">
        <v>107</v>
      </c>
      <c r="H104" s="15">
        <v>2</v>
      </c>
      <c r="I104" s="16">
        <v>18.899999999999999</v>
      </c>
      <c r="J104" s="17">
        <v>0</v>
      </c>
      <c r="K104" s="18">
        <f t="shared" si="3"/>
        <v>37.799999999999997</v>
      </c>
      <c r="L104" s="18">
        <f t="shared" si="4"/>
        <v>0</v>
      </c>
      <c r="M104" s="18">
        <f t="shared" si="5"/>
        <v>37.799999999999997</v>
      </c>
      <c r="N104" s="24" t="e">
        <f>VLOOKUP(Vendas[[#This Row],[Mes2]],Planilha1!$J:$K,2,FALSE)</f>
        <v>#N/A</v>
      </c>
      <c r="O104" s="26" t="s">
        <v>487</v>
      </c>
    </row>
    <row r="105" spans="1:15">
      <c r="A105" s="13" t="s">
        <v>233</v>
      </c>
      <c r="B105" s="14">
        <v>45758</v>
      </c>
      <c r="C105" s="1" t="s">
        <v>97</v>
      </c>
      <c r="D105" s="1" t="s">
        <v>98</v>
      </c>
      <c r="E105" s="1" t="s">
        <v>115</v>
      </c>
      <c r="F105" s="1" t="s">
        <v>106</v>
      </c>
      <c r="G105" s="1" t="s">
        <v>116</v>
      </c>
      <c r="H105" s="15">
        <v>2</v>
      </c>
      <c r="I105" s="16">
        <v>34.9</v>
      </c>
      <c r="J105" s="17">
        <v>0.1</v>
      </c>
      <c r="K105" s="18">
        <f t="shared" si="3"/>
        <v>69.8</v>
      </c>
      <c r="L105" s="18">
        <f t="shared" si="4"/>
        <v>6.98</v>
      </c>
      <c r="M105" s="18">
        <f t="shared" si="5"/>
        <v>62.819999999999993</v>
      </c>
      <c r="N105" s="24" t="e">
        <f>VLOOKUP(Vendas[[#This Row],[Mes2]],Planilha1!$J:$K,2,FALSE)</f>
        <v>#N/A</v>
      </c>
      <c r="O105" s="26" t="s">
        <v>487</v>
      </c>
    </row>
    <row r="106" spans="1:15">
      <c r="A106" s="13" t="s">
        <v>219</v>
      </c>
      <c r="B106" s="14">
        <v>45760</v>
      </c>
      <c r="C106" s="1" t="s">
        <v>111</v>
      </c>
      <c r="D106" s="1" t="s">
        <v>104</v>
      </c>
      <c r="E106" s="1" t="s">
        <v>126</v>
      </c>
      <c r="F106" s="1" t="s">
        <v>100</v>
      </c>
      <c r="G106" s="1" t="s">
        <v>116</v>
      </c>
      <c r="H106" s="15">
        <v>3</v>
      </c>
      <c r="I106" s="16">
        <v>28.9</v>
      </c>
      <c r="J106" s="17">
        <v>0.05</v>
      </c>
      <c r="K106" s="18">
        <f t="shared" si="3"/>
        <v>86.699999999999989</v>
      </c>
      <c r="L106" s="18">
        <f t="shared" si="4"/>
        <v>4.335</v>
      </c>
      <c r="M106" s="18">
        <f t="shared" si="5"/>
        <v>82.364999999999995</v>
      </c>
      <c r="N106" s="24" t="e">
        <f>VLOOKUP(Vendas[[#This Row],[Mes2]],Planilha1!$J:$K,2,FALSE)</f>
        <v>#N/A</v>
      </c>
      <c r="O106" s="26" t="s">
        <v>487</v>
      </c>
    </row>
    <row r="107" spans="1:15">
      <c r="A107" s="13" t="s">
        <v>229</v>
      </c>
      <c r="B107" s="14">
        <v>45760</v>
      </c>
      <c r="C107" s="1" t="s">
        <v>103</v>
      </c>
      <c r="D107" s="1" t="s">
        <v>104</v>
      </c>
      <c r="E107" s="1" t="s">
        <v>109</v>
      </c>
      <c r="F107" s="1" t="s">
        <v>128</v>
      </c>
      <c r="G107" s="1" t="s">
        <v>116</v>
      </c>
      <c r="H107" s="15">
        <v>2</v>
      </c>
      <c r="I107" s="16">
        <v>39.9</v>
      </c>
      <c r="J107" s="17">
        <v>0.15</v>
      </c>
      <c r="K107" s="18">
        <f t="shared" si="3"/>
        <v>79.8</v>
      </c>
      <c r="L107" s="18">
        <f t="shared" si="4"/>
        <v>11.969999999999999</v>
      </c>
      <c r="M107" s="18">
        <f t="shared" si="5"/>
        <v>67.83</v>
      </c>
      <c r="N107" s="24" t="e">
        <f>VLOOKUP(Vendas[[#This Row],[Mes2]],Planilha1!$J:$K,2,FALSE)</f>
        <v>#N/A</v>
      </c>
      <c r="O107" s="26" t="s">
        <v>487</v>
      </c>
    </row>
    <row r="108" spans="1:15">
      <c r="A108" s="13" t="s">
        <v>221</v>
      </c>
      <c r="B108" s="14">
        <v>45761</v>
      </c>
      <c r="C108" s="1" t="s">
        <v>123</v>
      </c>
      <c r="D108" s="1" t="s">
        <v>114</v>
      </c>
      <c r="E108" s="1" t="s">
        <v>109</v>
      </c>
      <c r="F108" s="1" t="s">
        <v>100</v>
      </c>
      <c r="G108" s="1" t="s">
        <v>116</v>
      </c>
      <c r="H108" s="15">
        <v>2</v>
      </c>
      <c r="I108" s="16">
        <v>74.900000000000006</v>
      </c>
      <c r="J108" s="17">
        <v>0</v>
      </c>
      <c r="K108" s="18">
        <f t="shared" si="3"/>
        <v>149.80000000000001</v>
      </c>
      <c r="L108" s="18">
        <f t="shared" si="4"/>
        <v>0</v>
      </c>
      <c r="M108" s="18">
        <f t="shared" si="5"/>
        <v>149.80000000000001</v>
      </c>
      <c r="N108" s="24" t="e">
        <f>VLOOKUP(Vendas[[#This Row],[Mes2]],Planilha1!$J:$K,2,FALSE)</f>
        <v>#N/A</v>
      </c>
      <c r="O108" s="26" t="s">
        <v>487</v>
      </c>
    </row>
    <row r="109" spans="1:15">
      <c r="A109" s="13" t="s">
        <v>223</v>
      </c>
      <c r="B109" s="14">
        <v>45762</v>
      </c>
      <c r="C109" s="1" t="s">
        <v>103</v>
      </c>
      <c r="D109" s="1" t="s">
        <v>104</v>
      </c>
      <c r="E109" s="1" t="s">
        <v>99</v>
      </c>
      <c r="F109" s="1" t="s">
        <v>106</v>
      </c>
      <c r="G109" s="1" t="s">
        <v>116</v>
      </c>
      <c r="H109" s="15">
        <v>1</v>
      </c>
      <c r="I109" s="16">
        <v>39.9</v>
      </c>
      <c r="J109" s="17">
        <v>0.05</v>
      </c>
      <c r="K109" s="18">
        <f t="shared" si="3"/>
        <v>39.9</v>
      </c>
      <c r="L109" s="18">
        <f t="shared" si="4"/>
        <v>1.9950000000000001</v>
      </c>
      <c r="M109" s="18">
        <f t="shared" si="5"/>
        <v>37.905000000000001</v>
      </c>
      <c r="N109" s="24" t="e">
        <f>VLOOKUP(Vendas[[#This Row],[Mes2]],Planilha1!$J:$K,2,FALSE)</f>
        <v>#N/A</v>
      </c>
      <c r="O109" s="26" t="s">
        <v>487</v>
      </c>
    </row>
    <row r="110" spans="1:15">
      <c r="A110" s="13" t="s">
        <v>209</v>
      </c>
      <c r="B110" s="14">
        <v>45763</v>
      </c>
      <c r="C110" s="1" t="s">
        <v>113</v>
      </c>
      <c r="D110" s="1" t="s">
        <v>114</v>
      </c>
      <c r="E110" s="1" t="s">
        <v>99</v>
      </c>
      <c r="F110" s="1" t="s">
        <v>100</v>
      </c>
      <c r="G110" s="1" t="s">
        <v>107</v>
      </c>
      <c r="H110" s="15">
        <v>3</v>
      </c>
      <c r="I110" s="16">
        <v>18.899999999999999</v>
      </c>
      <c r="J110" s="17">
        <v>0.05</v>
      </c>
      <c r="K110" s="18">
        <f t="shared" si="3"/>
        <v>56.699999999999996</v>
      </c>
      <c r="L110" s="18">
        <f t="shared" si="4"/>
        <v>2.835</v>
      </c>
      <c r="M110" s="18">
        <f t="shared" si="5"/>
        <v>53.864999999999995</v>
      </c>
      <c r="N110" s="24" t="e">
        <f>VLOOKUP(Vendas[[#This Row],[Mes2]],Planilha1!$J:$K,2,FALSE)</f>
        <v>#N/A</v>
      </c>
      <c r="O110" s="26" t="s">
        <v>487</v>
      </c>
    </row>
    <row r="111" spans="1:15">
      <c r="A111" s="13" t="s">
        <v>231</v>
      </c>
      <c r="B111" s="14">
        <v>45763</v>
      </c>
      <c r="C111" s="1" t="s">
        <v>97</v>
      </c>
      <c r="D111" s="1" t="s">
        <v>98</v>
      </c>
      <c r="E111" s="1" t="s">
        <v>105</v>
      </c>
      <c r="F111" s="1" t="s">
        <v>100</v>
      </c>
      <c r="G111" s="1" t="s">
        <v>143</v>
      </c>
      <c r="H111" s="15">
        <v>1</v>
      </c>
      <c r="I111" s="16">
        <v>34.9</v>
      </c>
      <c r="J111" s="17">
        <v>0</v>
      </c>
      <c r="K111" s="18">
        <f t="shared" si="3"/>
        <v>34.9</v>
      </c>
      <c r="L111" s="18">
        <f t="shared" si="4"/>
        <v>0</v>
      </c>
      <c r="M111" s="18">
        <f t="shared" si="5"/>
        <v>34.9</v>
      </c>
      <c r="N111" s="24" t="e">
        <f>VLOOKUP(Vendas[[#This Row],[Mes2]],Planilha1!$J:$K,2,FALSE)</f>
        <v>#N/A</v>
      </c>
      <c r="O111" s="26" t="s">
        <v>487</v>
      </c>
    </row>
    <row r="112" spans="1:15">
      <c r="A112" s="13" t="s">
        <v>218</v>
      </c>
      <c r="B112" s="14">
        <v>45764</v>
      </c>
      <c r="C112" s="1" t="s">
        <v>123</v>
      </c>
      <c r="D112" s="1" t="s">
        <v>114</v>
      </c>
      <c r="E112" s="1" t="s">
        <v>99</v>
      </c>
      <c r="F112" s="1" t="s">
        <v>106</v>
      </c>
      <c r="G112" s="1" t="s">
        <v>107</v>
      </c>
      <c r="H112" s="15">
        <v>1</v>
      </c>
      <c r="I112" s="16">
        <v>74.900000000000006</v>
      </c>
      <c r="J112" s="17">
        <v>0.05</v>
      </c>
      <c r="K112" s="18">
        <f t="shared" si="3"/>
        <v>74.900000000000006</v>
      </c>
      <c r="L112" s="18">
        <f t="shared" si="4"/>
        <v>3.7450000000000006</v>
      </c>
      <c r="M112" s="18">
        <f t="shared" si="5"/>
        <v>71.155000000000001</v>
      </c>
      <c r="N112" s="24" t="e">
        <f>VLOOKUP(Vendas[[#This Row],[Mes2]],Planilha1!$J:$K,2,FALSE)</f>
        <v>#N/A</v>
      </c>
      <c r="O112" s="26" t="s">
        <v>487</v>
      </c>
    </row>
    <row r="113" spans="1:15">
      <c r="A113" s="13" t="s">
        <v>220</v>
      </c>
      <c r="B113" s="14">
        <v>45764</v>
      </c>
      <c r="C113" s="1" t="s">
        <v>118</v>
      </c>
      <c r="D113" s="1" t="s">
        <v>98</v>
      </c>
      <c r="E113" s="1" t="s">
        <v>99</v>
      </c>
      <c r="F113" s="1" t="s">
        <v>100</v>
      </c>
      <c r="G113" s="1" t="s">
        <v>143</v>
      </c>
      <c r="H113" s="15">
        <v>1</v>
      </c>
      <c r="I113" s="16">
        <v>89.9</v>
      </c>
      <c r="J113" s="17">
        <v>0.1</v>
      </c>
      <c r="K113" s="18">
        <f t="shared" si="3"/>
        <v>89.9</v>
      </c>
      <c r="L113" s="18">
        <f t="shared" si="4"/>
        <v>8.99</v>
      </c>
      <c r="M113" s="18">
        <f t="shared" si="5"/>
        <v>80.910000000000011</v>
      </c>
      <c r="N113" s="24" t="e">
        <f>VLOOKUP(Vendas[[#This Row],[Mes2]],Planilha1!$J:$K,2,FALSE)</f>
        <v>#N/A</v>
      </c>
      <c r="O113" s="26" t="s">
        <v>487</v>
      </c>
    </row>
    <row r="114" spans="1:15">
      <c r="A114" s="13" t="s">
        <v>212</v>
      </c>
      <c r="B114" s="14">
        <v>45766</v>
      </c>
      <c r="C114" s="1" t="s">
        <v>113</v>
      </c>
      <c r="D114" s="1" t="s">
        <v>114</v>
      </c>
      <c r="E114" s="1" t="s">
        <v>99</v>
      </c>
      <c r="F114" s="1" t="s">
        <v>100</v>
      </c>
      <c r="G114" s="1" t="s">
        <v>101</v>
      </c>
      <c r="H114" s="15">
        <v>2</v>
      </c>
      <c r="I114" s="16">
        <v>18.899999999999999</v>
      </c>
      <c r="J114" s="17">
        <v>0.1</v>
      </c>
      <c r="K114" s="18">
        <f t="shared" si="3"/>
        <v>37.799999999999997</v>
      </c>
      <c r="L114" s="18">
        <f t="shared" si="4"/>
        <v>3.78</v>
      </c>
      <c r="M114" s="18">
        <f t="shared" si="5"/>
        <v>34.019999999999996</v>
      </c>
      <c r="N114" s="24" t="e">
        <f>VLOOKUP(Vendas[[#This Row],[Mes2]],Planilha1!$J:$K,2,FALSE)</f>
        <v>#N/A</v>
      </c>
      <c r="O114" s="26" t="s">
        <v>487</v>
      </c>
    </row>
    <row r="115" spans="1:15">
      <c r="A115" s="13" t="s">
        <v>222</v>
      </c>
      <c r="B115" s="14">
        <v>45766</v>
      </c>
      <c r="C115" s="1" t="s">
        <v>118</v>
      </c>
      <c r="D115" s="1" t="s">
        <v>98</v>
      </c>
      <c r="E115" s="1" t="s">
        <v>115</v>
      </c>
      <c r="F115" s="1" t="s">
        <v>100</v>
      </c>
      <c r="G115" s="1" t="s">
        <v>101</v>
      </c>
      <c r="H115" s="15">
        <v>1</v>
      </c>
      <c r="I115" s="16">
        <v>89.9</v>
      </c>
      <c r="J115" s="17">
        <v>0.1</v>
      </c>
      <c r="K115" s="18">
        <f t="shared" si="3"/>
        <v>89.9</v>
      </c>
      <c r="L115" s="18">
        <f t="shared" si="4"/>
        <v>8.99</v>
      </c>
      <c r="M115" s="18">
        <f t="shared" si="5"/>
        <v>80.910000000000011</v>
      </c>
      <c r="N115" s="24" t="e">
        <f>VLOOKUP(Vendas[[#This Row],[Mes2]],Planilha1!$J:$K,2,FALSE)</f>
        <v>#N/A</v>
      </c>
      <c r="O115" s="26" t="s">
        <v>487</v>
      </c>
    </row>
    <row r="116" spans="1:15">
      <c r="A116" s="13" t="s">
        <v>230</v>
      </c>
      <c r="B116" s="14">
        <v>45766</v>
      </c>
      <c r="C116" s="1" t="s">
        <v>134</v>
      </c>
      <c r="D116" s="1" t="s">
        <v>104</v>
      </c>
      <c r="E116" s="1" t="s">
        <v>99</v>
      </c>
      <c r="F116" s="1" t="s">
        <v>100</v>
      </c>
      <c r="G116" s="1" t="s">
        <v>107</v>
      </c>
      <c r="H116" s="15">
        <v>1</v>
      </c>
      <c r="I116" s="16">
        <v>79.900000000000006</v>
      </c>
      <c r="J116" s="17">
        <v>0.05</v>
      </c>
      <c r="K116" s="18">
        <f t="shared" si="3"/>
        <v>79.900000000000006</v>
      </c>
      <c r="L116" s="18">
        <f t="shared" si="4"/>
        <v>3.9950000000000006</v>
      </c>
      <c r="M116" s="18">
        <f t="shared" si="5"/>
        <v>75.905000000000001</v>
      </c>
      <c r="N116" s="24" t="e">
        <f>VLOOKUP(Vendas[[#This Row],[Mes2]],Planilha1!$J:$K,2,FALSE)</f>
        <v>#N/A</v>
      </c>
      <c r="O116" s="26" t="s">
        <v>487</v>
      </c>
    </row>
    <row r="117" spans="1:15">
      <c r="A117" s="13" t="s">
        <v>234</v>
      </c>
      <c r="B117" s="14">
        <v>45767</v>
      </c>
      <c r="C117" s="1" t="s">
        <v>111</v>
      </c>
      <c r="D117" s="1" t="s">
        <v>104</v>
      </c>
      <c r="E117" s="1" t="s">
        <v>109</v>
      </c>
      <c r="F117" s="1" t="s">
        <v>128</v>
      </c>
      <c r="G117" s="1" t="s">
        <v>107</v>
      </c>
      <c r="H117" s="15">
        <v>1</v>
      </c>
      <c r="I117" s="16">
        <v>28.9</v>
      </c>
      <c r="J117" s="17">
        <v>0.1</v>
      </c>
      <c r="K117" s="18">
        <f t="shared" si="3"/>
        <v>28.9</v>
      </c>
      <c r="L117" s="18">
        <f t="shared" si="4"/>
        <v>2.89</v>
      </c>
      <c r="M117" s="18">
        <f t="shared" si="5"/>
        <v>26.009999999999998</v>
      </c>
      <c r="N117" s="24" t="e">
        <f>VLOOKUP(Vendas[[#This Row],[Mes2]],Planilha1!$J:$K,2,FALSE)</f>
        <v>#N/A</v>
      </c>
      <c r="O117" s="26" t="s">
        <v>487</v>
      </c>
    </row>
    <row r="118" spans="1:15">
      <c r="A118" s="13" t="s">
        <v>213</v>
      </c>
      <c r="B118" s="14">
        <v>45768</v>
      </c>
      <c r="C118" s="1" t="s">
        <v>111</v>
      </c>
      <c r="D118" s="1" t="s">
        <v>104</v>
      </c>
      <c r="E118" s="1" t="s">
        <v>105</v>
      </c>
      <c r="F118" s="1" t="s">
        <v>106</v>
      </c>
      <c r="G118" s="1" t="s">
        <v>107</v>
      </c>
      <c r="H118" s="15">
        <v>1</v>
      </c>
      <c r="I118" s="16">
        <v>28.9</v>
      </c>
      <c r="J118" s="17">
        <v>0.05</v>
      </c>
      <c r="K118" s="18">
        <f t="shared" si="3"/>
        <v>28.9</v>
      </c>
      <c r="L118" s="18">
        <f t="shared" si="4"/>
        <v>1.4450000000000001</v>
      </c>
      <c r="M118" s="18">
        <f t="shared" si="5"/>
        <v>27.454999999999998</v>
      </c>
      <c r="N118" s="24" t="e">
        <f>VLOOKUP(Vendas[[#This Row],[Mes2]],Planilha1!$J:$K,2,FALSE)</f>
        <v>#N/A</v>
      </c>
      <c r="O118" s="26" t="s">
        <v>487</v>
      </c>
    </row>
    <row r="119" spans="1:15">
      <c r="A119" s="13" t="s">
        <v>215</v>
      </c>
      <c r="B119" s="14">
        <v>45768</v>
      </c>
      <c r="C119" s="1" t="s">
        <v>111</v>
      </c>
      <c r="D119" s="1" t="s">
        <v>104</v>
      </c>
      <c r="E119" s="1" t="s">
        <v>126</v>
      </c>
      <c r="F119" s="1" t="s">
        <v>100</v>
      </c>
      <c r="G119" s="1" t="s">
        <v>101</v>
      </c>
      <c r="H119" s="15">
        <v>1</v>
      </c>
      <c r="I119" s="16">
        <v>28.9</v>
      </c>
      <c r="J119" s="17">
        <v>0.1</v>
      </c>
      <c r="K119" s="18">
        <f t="shared" si="3"/>
        <v>28.9</v>
      </c>
      <c r="L119" s="18">
        <f t="shared" si="4"/>
        <v>2.89</v>
      </c>
      <c r="M119" s="18">
        <f t="shared" si="5"/>
        <v>26.009999999999998</v>
      </c>
      <c r="N119" s="24" t="e">
        <f>VLOOKUP(Vendas[[#This Row],[Mes2]],Planilha1!$J:$K,2,FALSE)</f>
        <v>#N/A</v>
      </c>
      <c r="O119" s="26" t="s">
        <v>487</v>
      </c>
    </row>
    <row r="120" spans="1:15">
      <c r="A120" s="13" t="s">
        <v>226</v>
      </c>
      <c r="B120" s="14">
        <v>45769</v>
      </c>
      <c r="C120" s="1" t="s">
        <v>118</v>
      </c>
      <c r="D120" s="1" t="s">
        <v>98</v>
      </c>
      <c r="E120" s="1" t="s">
        <v>105</v>
      </c>
      <c r="F120" s="1" t="s">
        <v>128</v>
      </c>
      <c r="G120" s="1" t="s">
        <v>116</v>
      </c>
      <c r="H120" s="15">
        <v>3</v>
      </c>
      <c r="I120" s="16">
        <v>89.9</v>
      </c>
      <c r="J120" s="17">
        <v>0.05</v>
      </c>
      <c r="K120" s="18">
        <f t="shared" si="3"/>
        <v>269.70000000000005</v>
      </c>
      <c r="L120" s="18">
        <f t="shared" si="4"/>
        <v>13.485000000000003</v>
      </c>
      <c r="M120" s="18">
        <f t="shared" si="5"/>
        <v>256.21500000000003</v>
      </c>
      <c r="N120" s="24" t="e">
        <f>VLOOKUP(Vendas[[#This Row],[Mes2]],Planilha1!$J:$K,2,FALSE)</f>
        <v>#N/A</v>
      </c>
      <c r="O120" s="26" t="s">
        <v>487</v>
      </c>
    </row>
    <row r="121" spans="1:15">
      <c r="A121" s="13" t="s">
        <v>214</v>
      </c>
      <c r="B121" s="14">
        <v>45770</v>
      </c>
      <c r="C121" s="1" t="s">
        <v>111</v>
      </c>
      <c r="D121" s="1" t="s">
        <v>104</v>
      </c>
      <c r="E121" s="1" t="s">
        <v>109</v>
      </c>
      <c r="F121" s="1" t="s">
        <v>100</v>
      </c>
      <c r="G121" s="1" t="s">
        <v>107</v>
      </c>
      <c r="H121" s="15">
        <v>2</v>
      </c>
      <c r="I121" s="16">
        <v>28.9</v>
      </c>
      <c r="J121" s="17">
        <v>0.05</v>
      </c>
      <c r="K121" s="18">
        <f t="shared" si="3"/>
        <v>57.8</v>
      </c>
      <c r="L121" s="18">
        <f t="shared" si="4"/>
        <v>2.89</v>
      </c>
      <c r="M121" s="18">
        <f t="shared" si="5"/>
        <v>54.91</v>
      </c>
      <c r="N121" s="24" t="e">
        <f>VLOOKUP(Vendas[[#This Row],[Mes2]],Planilha1!$J:$K,2,FALSE)</f>
        <v>#N/A</v>
      </c>
      <c r="O121" s="26" t="s">
        <v>487</v>
      </c>
    </row>
    <row r="122" spans="1:15">
      <c r="A122" s="13" t="s">
        <v>225</v>
      </c>
      <c r="B122" s="14">
        <v>45770</v>
      </c>
      <c r="C122" s="1" t="s">
        <v>97</v>
      </c>
      <c r="D122" s="1" t="s">
        <v>98</v>
      </c>
      <c r="E122" s="1" t="s">
        <v>99</v>
      </c>
      <c r="F122" s="1" t="s">
        <v>100</v>
      </c>
      <c r="G122" s="1" t="s">
        <v>107</v>
      </c>
      <c r="H122" s="15">
        <v>2</v>
      </c>
      <c r="I122" s="16">
        <v>34.9</v>
      </c>
      <c r="J122" s="17">
        <v>0.05</v>
      </c>
      <c r="K122" s="18">
        <f t="shared" si="3"/>
        <v>69.8</v>
      </c>
      <c r="L122" s="18">
        <f t="shared" si="4"/>
        <v>3.49</v>
      </c>
      <c r="M122" s="18">
        <f t="shared" si="5"/>
        <v>66.31</v>
      </c>
      <c r="N122" s="24" t="e">
        <f>VLOOKUP(Vendas[[#This Row],[Mes2]],Planilha1!$J:$K,2,FALSE)</f>
        <v>#N/A</v>
      </c>
      <c r="O122" s="26" t="s">
        <v>487</v>
      </c>
    </row>
    <row r="123" spans="1:15">
      <c r="A123" s="13" t="s">
        <v>227</v>
      </c>
      <c r="B123" s="14">
        <v>45772</v>
      </c>
      <c r="C123" s="1" t="s">
        <v>118</v>
      </c>
      <c r="D123" s="1" t="s">
        <v>98</v>
      </c>
      <c r="E123" s="1" t="s">
        <v>126</v>
      </c>
      <c r="F123" s="1" t="s">
        <v>100</v>
      </c>
      <c r="G123" s="1" t="s">
        <v>107</v>
      </c>
      <c r="H123" s="15">
        <v>1</v>
      </c>
      <c r="I123" s="16">
        <v>89.9</v>
      </c>
      <c r="J123" s="17">
        <v>0.05</v>
      </c>
      <c r="K123" s="18">
        <f t="shared" si="3"/>
        <v>89.9</v>
      </c>
      <c r="L123" s="18">
        <f t="shared" si="4"/>
        <v>4.4950000000000001</v>
      </c>
      <c r="M123" s="18">
        <f t="shared" si="5"/>
        <v>85.405000000000001</v>
      </c>
      <c r="N123" s="24" t="e">
        <f>VLOOKUP(Vendas[[#This Row],[Mes2]],Planilha1!$J:$K,2,FALSE)</f>
        <v>#N/A</v>
      </c>
      <c r="O123" s="26" t="s">
        <v>487</v>
      </c>
    </row>
    <row r="124" spans="1:15">
      <c r="A124" s="13" t="s">
        <v>211</v>
      </c>
      <c r="B124" s="14">
        <v>45776</v>
      </c>
      <c r="C124" s="1" t="s">
        <v>113</v>
      </c>
      <c r="D124" s="1" t="s">
        <v>114</v>
      </c>
      <c r="E124" s="1" t="s">
        <v>126</v>
      </c>
      <c r="F124" s="1" t="s">
        <v>128</v>
      </c>
      <c r="G124" s="1" t="s">
        <v>101</v>
      </c>
      <c r="H124" s="15">
        <v>3</v>
      </c>
      <c r="I124" s="16">
        <v>18.899999999999999</v>
      </c>
      <c r="J124" s="17">
        <v>0</v>
      </c>
      <c r="K124" s="18">
        <f t="shared" si="3"/>
        <v>56.699999999999996</v>
      </c>
      <c r="L124" s="18">
        <f t="shared" si="4"/>
        <v>0</v>
      </c>
      <c r="M124" s="18">
        <f t="shared" si="5"/>
        <v>56.699999999999996</v>
      </c>
      <c r="N124" s="24" t="e">
        <f>VLOOKUP(Vendas[[#This Row],[Mes2]],Planilha1!$J:$K,2,FALSE)</f>
        <v>#N/A</v>
      </c>
      <c r="O124" s="26" t="s">
        <v>487</v>
      </c>
    </row>
    <row r="125" spans="1:15">
      <c r="A125" s="13" t="s">
        <v>254</v>
      </c>
      <c r="B125" s="14">
        <v>45778</v>
      </c>
      <c r="C125" s="1" t="s">
        <v>118</v>
      </c>
      <c r="D125" s="1" t="s">
        <v>98</v>
      </c>
      <c r="E125" s="1" t="s">
        <v>115</v>
      </c>
      <c r="F125" s="1" t="s">
        <v>100</v>
      </c>
      <c r="G125" s="1" t="s">
        <v>101</v>
      </c>
      <c r="H125" s="15">
        <v>2</v>
      </c>
      <c r="I125" s="16">
        <v>89.9</v>
      </c>
      <c r="J125" s="17">
        <v>0.1</v>
      </c>
      <c r="K125" s="18">
        <f t="shared" si="3"/>
        <v>179.8</v>
      </c>
      <c r="L125" s="18">
        <f t="shared" si="4"/>
        <v>17.98</v>
      </c>
      <c r="M125" s="18">
        <f t="shared" si="5"/>
        <v>161.82000000000002</v>
      </c>
      <c r="N125" s="24" t="e">
        <f>VLOOKUP(Vendas[[#This Row],[Mes2]],Planilha1!$J:$K,2,FALSE)</f>
        <v>#N/A</v>
      </c>
      <c r="O125" s="26" t="s">
        <v>488</v>
      </c>
    </row>
    <row r="126" spans="1:15">
      <c r="A126" s="13" t="s">
        <v>245</v>
      </c>
      <c r="B126" s="14">
        <v>45779</v>
      </c>
      <c r="C126" s="1" t="s">
        <v>121</v>
      </c>
      <c r="D126" s="1" t="s">
        <v>98</v>
      </c>
      <c r="E126" s="1" t="s">
        <v>99</v>
      </c>
      <c r="F126" s="1" t="s">
        <v>106</v>
      </c>
      <c r="G126" s="1" t="s">
        <v>116</v>
      </c>
      <c r="H126" s="15">
        <v>2</v>
      </c>
      <c r="I126" s="16">
        <v>12.9</v>
      </c>
      <c r="J126" s="17">
        <v>0.05</v>
      </c>
      <c r="K126" s="18">
        <f t="shared" si="3"/>
        <v>25.8</v>
      </c>
      <c r="L126" s="18">
        <f t="shared" si="4"/>
        <v>1.29</v>
      </c>
      <c r="M126" s="18">
        <f t="shared" si="5"/>
        <v>24.51</v>
      </c>
      <c r="N126" s="24" t="e">
        <f>VLOOKUP(Vendas[[#This Row],[Mes2]],Planilha1!$J:$K,2,FALSE)</f>
        <v>#N/A</v>
      </c>
      <c r="O126" s="26" t="s">
        <v>488</v>
      </c>
    </row>
    <row r="127" spans="1:15">
      <c r="A127" s="13" t="s">
        <v>267</v>
      </c>
      <c r="B127" s="14">
        <v>45779</v>
      </c>
      <c r="C127" s="1" t="s">
        <v>121</v>
      </c>
      <c r="D127" s="1" t="s">
        <v>98</v>
      </c>
      <c r="E127" s="1" t="s">
        <v>105</v>
      </c>
      <c r="F127" s="1" t="s">
        <v>100</v>
      </c>
      <c r="G127" s="1" t="s">
        <v>101</v>
      </c>
      <c r="H127" s="15">
        <v>3</v>
      </c>
      <c r="I127" s="16">
        <v>12.9</v>
      </c>
      <c r="J127" s="17">
        <v>0.05</v>
      </c>
      <c r="K127" s="18">
        <f t="shared" si="3"/>
        <v>38.700000000000003</v>
      </c>
      <c r="L127" s="18">
        <f t="shared" si="4"/>
        <v>1.9350000000000003</v>
      </c>
      <c r="M127" s="18">
        <f t="shared" si="5"/>
        <v>36.765000000000001</v>
      </c>
      <c r="N127" s="24" t="e">
        <f>VLOOKUP(Vendas[[#This Row],[Mes2]],Planilha1!$J:$K,2,FALSE)</f>
        <v>#N/A</v>
      </c>
      <c r="O127" s="26" t="s">
        <v>488</v>
      </c>
    </row>
    <row r="128" spans="1:15">
      <c r="A128" s="13" t="s">
        <v>262</v>
      </c>
      <c r="B128" s="14">
        <v>45780</v>
      </c>
      <c r="C128" s="1" t="s">
        <v>103</v>
      </c>
      <c r="D128" s="1" t="s">
        <v>104</v>
      </c>
      <c r="E128" s="1" t="s">
        <v>126</v>
      </c>
      <c r="F128" s="1" t="s">
        <v>106</v>
      </c>
      <c r="G128" s="1" t="s">
        <v>107</v>
      </c>
      <c r="H128" s="15">
        <v>2</v>
      </c>
      <c r="I128" s="16">
        <v>39.9</v>
      </c>
      <c r="J128" s="17">
        <v>0</v>
      </c>
      <c r="K128" s="18">
        <f t="shared" si="3"/>
        <v>79.8</v>
      </c>
      <c r="L128" s="18">
        <f t="shared" si="4"/>
        <v>0</v>
      </c>
      <c r="M128" s="18">
        <f t="shared" si="5"/>
        <v>79.8</v>
      </c>
      <c r="N128" s="24" t="e">
        <f>VLOOKUP(Vendas[[#This Row],[Mes2]],Planilha1!$J:$K,2,FALSE)</f>
        <v>#N/A</v>
      </c>
      <c r="O128" s="26" t="s">
        <v>488</v>
      </c>
    </row>
    <row r="129" spans="1:15">
      <c r="A129" s="13" t="s">
        <v>246</v>
      </c>
      <c r="B129" s="14">
        <v>45781</v>
      </c>
      <c r="C129" s="1" t="s">
        <v>121</v>
      </c>
      <c r="D129" s="1" t="s">
        <v>98</v>
      </c>
      <c r="E129" s="1" t="s">
        <v>99</v>
      </c>
      <c r="F129" s="1" t="s">
        <v>100</v>
      </c>
      <c r="G129" s="1" t="s">
        <v>101</v>
      </c>
      <c r="H129" s="15">
        <v>2</v>
      </c>
      <c r="I129" s="16">
        <v>12.9</v>
      </c>
      <c r="J129" s="17">
        <v>0.1</v>
      </c>
      <c r="K129" s="18">
        <f t="shared" si="3"/>
        <v>25.8</v>
      </c>
      <c r="L129" s="18">
        <f t="shared" si="4"/>
        <v>2.58</v>
      </c>
      <c r="M129" s="18">
        <f t="shared" si="5"/>
        <v>23.22</v>
      </c>
      <c r="N129" s="24" t="e">
        <f>VLOOKUP(Vendas[[#This Row],[Mes2]],Planilha1!$J:$K,2,FALSE)</f>
        <v>#N/A</v>
      </c>
      <c r="O129" s="26" t="s">
        <v>488</v>
      </c>
    </row>
    <row r="130" spans="1:15">
      <c r="A130" s="13" t="s">
        <v>255</v>
      </c>
      <c r="B130" s="14">
        <v>45782</v>
      </c>
      <c r="C130" s="1" t="s">
        <v>111</v>
      </c>
      <c r="D130" s="1" t="s">
        <v>104</v>
      </c>
      <c r="E130" s="1" t="s">
        <v>115</v>
      </c>
      <c r="F130" s="1" t="s">
        <v>100</v>
      </c>
      <c r="G130" s="1" t="s">
        <v>101</v>
      </c>
      <c r="H130" s="15">
        <v>1</v>
      </c>
      <c r="I130" s="16">
        <v>28.9</v>
      </c>
      <c r="J130" s="17">
        <v>0</v>
      </c>
      <c r="K130" s="18">
        <f t="shared" si="3"/>
        <v>28.9</v>
      </c>
      <c r="L130" s="18">
        <f t="shared" si="4"/>
        <v>0</v>
      </c>
      <c r="M130" s="18">
        <f t="shared" si="5"/>
        <v>28.9</v>
      </c>
      <c r="N130" s="24" t="e">
        <f>VLOOKUP(Vendas[[#This Row],[Mes2]],Planilha1!$J:$K,2,FALSE)</f>
        <v>#N/A</v>
      </c>
      <c r="O130" s="26" t="s">
        <v>488</v>
      </c>
    </row>
    <row r="131" spans="1:15">
      <c r="A131" s="13" t="s">
        <v>249</v>
      </c>
      <c r="B131" s="14">
        <v>45784</v>
      </c>
      <c r="C131" s="1" t="s">
        <v>121</v>
      </c>
      <c r="D131" s="1" t="s">
        <v>98</v>
      </c>
      <c r="E131" s="1" t="s">
        <v>115</v>
      </c>
      <c r="F131" s="1" t="s">
        <v>100</v>
      </c>
      <c r="G131" s="1" t="s">
        <v>107</v>
      </c>
      <c r="H131" s="15">
        <v>2</v>
      </c>
      <c r="I131" s="16">
        <v>12.9</v>
      </c>
      <c r="J131" s="17">
        <v>0</v>
      </c>
      <c r="K131" s="18">
        <f t="shared" si="3"/>
        <v>25.8</v>
      </c>
      <c r="L131" s="18">
        <f t="shared" si="4"/>
        <v>0</v>
      </c>
      <c r="M131" s="18">
        <f t="shared" si="5"/>
        <v>25.8</v>
      </c>
      <c r="N131" s="24" t="e">
        <f>VLOOKUP(Vendas[[#This Row],[Mes2]],Planilha1!$J:$K,2,FALSE)</f>
        <v>#N/A</v>
      </c>
      <c r="O131" s="26" t="s">
        <v>488</v>
      </c>
    </row>
    <row r="132" spans="1:15">
      <c r="A132" s="13" t="s">
        <v>250</v>
      </c>
      <c r="B132" s="14">
        <v>45785</v>
      </c>
      <c r="C132" s="1" t="s">
        <v>118</v>
      </c>
      <c r="D132" s="1" t="s">
        <v>98</v>
      </c>
      <c r="E132" s="1" t="s">
        <v>109</v>
      </c>
      <c r="F132" s="1" t="s">
        <v>100</v>
      </c>
      <c r="G132" s="1" t="s">
        <v>107</v>
      </c>
      <c r="H132" s="15">
        <v>3</v>
      </c>
      <c r="I132" s="16">
        <v>89.9</v>
      </c>
      <c r="J132" s="17">
        <v>0.1</v>
      </c>
      <c r="K132" s="18">
        <f t="shared" si="3"/>
        <v>269.70000000000005</v>
      </c>
      <c r="L132" s="18">
        <f t="shared" si="4"/>
        <v>26.970000000000006</v>
      </c>
      <c r="M132" s="18">
        <f t="shared" si="5"/>
        <v>242.73000000000005</v>
      </c>
      <c r="N132" s="24" t="e">
        <f>VLOOKUP(Vendas[[#This Row],[Mes2]],Planilha1!$J:$K,2,FALSE)</f>
        <v>#N/A</v>
      </c>
      <c r="O132" s="26" t="s">
        <v>488</v>
      </c>
    </row>
    <row r="133" spans="1:15">
      <c r="A133" s="13" t="s">
        <v>253</v>
      </c>
      <c r="B133" s="14">
        <v>45785</v>
      </c>
      <c r="C133" s="1" t="s">
        <v>121</v>
      </c>
      <c r="D133" s="1" t="s">
        <v>98</v>
      </c>
      <c r="E133" s="1" t="s">
        <v>115</v>
      </c>
      <c r="F133" s="1" t="s">
        <v>106</v>
      </c>
      <c r="G133" s="1" t="s">
        <v>107</v>
      </c>
      <c r="H133" s="15">
        <v>2</v>
      </c>
      <c r="I133" s="16">
        <v>12.9</v>
      </c>
      <c r="J133" s="17">
        <v>0</v>
      </c>
      <c r="K133" s="18">
        <f t="shared" ref="K133:K196" si="6">H133*I133</f>
        <v>25.8</v>
      </c>
      <c r="L133" s="18">
        <f t="shared" ref="L133:L196" si="7">K133*J133</f>
        <v>0</v>
      </c>
      <c r="M133" s="18">
        <f t="shared" ref="M133:M196" si="8">K133-L133</f>
        <v>25.8</v>
      </c>
      <c r="N133" s="24" t="e">
        <f>VLOOKUP(Vendas[[#This Row],[Mes2]],Planilha1!$J:$K,2,FALSE)</f>
        <v>#N/A</v>
      </c>
      <c r="O133" s="26" t="s">
        <v>488</v>
      </c>
    </row>
    <row r="134" spans="1:15">
      <c r="A134" s="13" t="s">
        <v>260</v>
      </c>
      <c r="B134" s="14">
        <v>45785</v>
      </c>
      <c r="C134" s="1" t="s">
        <v>97</v>
      </c>
      <c r="D134" s="1" t="s">
        <v>98</v>
      </c>
      <c r="E134" s="1" t="s">
        <v>99</v>
      </c>
      <c r="F134" s="1" t="s">
        <v>106</v>
      </c>
      <c r="G134" s="1" t="s">
        <v>107</v>
      </c>
      <c r="H134" s="15">
        <v>1</v>
      </c>
      <c r="I134" s="16">
        <v>34.9</v>
      </c>
      <c r="J134" s="17">
        <v>0.1</v>
      </c>
      <c r="K134" s="18">
        <f t="shared" si="6"/>
        <v>34.9</v>
      </c>
      <c r="L134" s="18">
        <f t="shared" si="7"/>
        <v>3.49</v>
      </c>
      <c r="M134" s="18">
        <f t="shared" si="8"/>
        <v>31.409999999999997</v>
      </c>
      <c r="N134" s="24" t="e">
        <f>VLOOKUP(Vendas[[#This Row],[Mes2]],Planilha1!$J:$K,2,FALSE)</f>
        <v>#N/A</v>
      </c>
      <c r="O134" s="26" t="s">
        <v>488</v>
      </c>
    </row>
    <row r="135" spans="1:15">
      <c r="A135" s="13" t="s">
        <v>266</v>
      </c>
      <c r="B135" s="14">
        <v>45785</v>
      </c>
      <c r="C135" s="1" t="s">
        <v>103</v>
      </c>
      <c r="D135" s="1" t="s">
        <v>104</v>
      </c>
      <c r="E135" s="1" t="s">
        <v>99</v>
      </c>
      <c r="F135" s="1" t="s">
        <v>106</v>
      </c>
      <c r="G135" s="1" t="s">
        <v>116</v>
      </c>
      <c r="H135" s="15">
        <v>1</v>
      </c>
      <c r="I135" s="16">
        <v>39.9</v>
      </c>
      <c r="J135" s="17">
        <v>0</v>
      </c>
      <c r="K135" s="18">
        <f t="shared" si="6"/>
        <v>39.9</v>
      </c>
      <c r="L135" s="18">
        <f t="shared" si="7"/>
        <v>0</v>
      </c>
      <c r="M135" s="18">
        <f t="shared" si="8"/>
        <v>39.9</v>
      </c>
      <c r="N135" s="24" t="e">
        <f>VLOOKUP(Vendas[[#This Row],[Mes2]],Planilha1!$J:$K,2,FALSE)</f>
        <v>#N/A</v>
      </c>
      <c r="O135" s="26" t="s">
        <v>488</v>
      </c>
    </row>
    <row r="136" spans="1:15">
      <c r="A136" s="13" t="s">
        <v>244</v>
      </c>
      <c r="B136" s="14">
        <v>45786</v>
      </c>
      <c r="C136" s="1" t="s">
        <v>103</v>
      </c>
      <c r="D136" s="1" t="s">
        <v>104</v>
      </c>
      <c r="E136" s="1" t="s">
        <v>105</v>
      </c>
      <c r="F136" s="1" t="s">
        <v>100</v>
      </c>
      <c r="G136" s="1" t="s">
        <v>143</v>
      </c>
      <c r="H136" s="15">
        <v>3</v>
      </c>
      <c r="I136" s="16">
        <v>39.9</v>
      </c>
      <c r="J136" s="17">
        <v>0.1</v>
      </c>
      <c r="K136" s="18">
        <f t="shared" si="6"/>
        <v>119.69999999999999</v>
      </c>
      <c r="L136" s="18">
        <f t="shared" si="7"/>
        <v>11.969999999999999</v>
      </c>
      <c r="M136" s="18">
        <f t="shared" si="8"/>
        <v>107.72999999999999</v>
      </c>
      <c r="N136" s="24" t="e">
        <f>VLOOKUP(Vendas[[#This Row],[Mes2]],Planilha1!$J:$K,2,FALSE)</f>
        <v>#N/A</v>
      </c>
      <c r="O136" s="26" t="s">
        <v>488</v>
      </c>
    </row>
    <row r="137" spans="1:15">
      <c r="A137" s="13" t="s">
        <v>257</v>
      </c>
      <c r="B137" s="14">
        <v>45786</v>
      </c>
      <c r="C137" s="1" t="s">
        <v>103</v>
      </c>
      <c r="D137" s="1" t="s">
        <v>104</v>
      </c>
      <c r="E137" s="1" t="s">
        <v>99</v>
      </c>
      <c r="F137" s="1" t="s">
        <v>128</v>
      </c>
      <c r="G137" s="1" t="s">
        <v>116</v>
      </c>
      <c r="H137" s="15">
        <v>1</v>
      </c>
      <c r="I137" s="16">
        <v>39.9</v>
      </c>
      <c r="J137" s="17">
        <v>0</v>
      </c>
      <c r="K137" s="18">
        <f t="shared" si="6"/>
        <v>39.9</v>
      </c>
      <c r="L137" s="18">
        <f t="shared" si="7"/>
        <v>0</v>
      </c>
      <c r="M137" s="18">
        <f t="shared" si="8"/>
        <v>39.9</v>
      </c>
      <c r="N137" s="24" t="e">
        <f>VLOOKUP(Vendas[[#This Row],[Mes2]],Planilha1!$J:$K,2,FALSE)</f>
        <v>#N/A</v>
      </c>
      <c r="O137" s="26" t="s">
        <v>488</v>
      </c>
    </row>
    <row r="138" spans="1:15">
      <c r="A138" s="13" t="s">
        <v>258</v>
      </c>
      <c r="B138" s="14">
        <v>45786</v>
      </c>
      <c r="C138" s="1" t="s">
        <v>103</v>
      </c>
      <c r="D138" s="1" t="s">
        <v>104</v>
      </c>
      <c r="E138" s="1" t="s">
        <v>99</v>
      </c>
      <c r="F138" s="1" t="s">
        <v>106</v>
      </c>
      <c r="G138" s="1" t="s">
        <v>107</v>
      </c>
      <c r="H138" s="15">
        <v>1</v>
      </c>
      <c r="I138" s="16">
        <v>39.9</v>
      </c>
      <c r="J138" s="17">
        <v>0.1</v>
      </c>
      <c r="K138" s="18">
        <f t="shared" si="6"/>
        <v>39.9</v>
      </c>
      <c r="L138" s="18">
        <f t="shared" si="7"/>
        <v>3.99</v>
      </c>
      <c r="M138" s="18">
        <f t="shared" si="8"/>
        <v>35.909999999999997</v>
      </c>
      <c r="N138" s="24" t="e">
        <f>VLOOKUP(Vendas[[#This Row],[Mes2]],Planilha1!$J:$K,2,FALSE)</f>
        <v>#N/A</v>
      </c>
      <c r="O138" s="26" t="s">
        <v>488</v>
      </c>
    </row>
    <row r="139" spans="1:15">
      <c r="A139" s="13" t="s">
        <v>264</v>
      </c>
      <c r="B139" s="14">
        <v>45786</v>
      </c>
      <c r="C139" s="1" t="s">
        <v>121</v>
      </c>
      <c r="D139" s="1" t="s">
        <v>98</v>
      </c>
      <c r="E139" s="1" t="s">
        <v>115</v>
      </c>
      <c r="F139" s="1" t="s">
        <v>100</v>
      </c>
      <c r="G139" s="1" t="s">
        <v>101</v>
      </c>
      <c r="H139" s="15">
        <v>2</v>
      </c>
      <c r="I139" s="16">
        <v>12.9</v>
      </c>
      <c r="J139" s="17">
        <v>0</v>
      </c>
      <c r="K139" s="18">
        <f t="shared" si="6"/>
        <v>25.8</v>
      </c>
      <c r="L139" s="18">
        <f t="shared" si="7"/>
        <v>0</v>
      </c>
      <c r="M139" s="18">
        <f t="shared" si="8"/>
        <v>25.8</v>
      </c>
      <c r="N139" s="24" t="e">
        <f>VLOOKUP(Vendas[[#This Row],[Mes2]],Planilha1!$J:$K,2,FALSE)</f>
        <v>#N/A</v>
      </c>
      <c r="O139" s="26" t="s">
        <v>488</v>
      </c>
    </row>
    <row r="140" spans="1:15">
      <c r="A140" s="13" t="s">
        <v>248</v>
      </c>
      <c r="B140" s="14">
        <v>45788</v>
      </c>
      <c r="C140" s="1" t="s">
        <v>97</v>
      </c>
      <c r="D140" s="1" t="s">
        <v>98</v>
      </c>
      <c r="E140" s="1" t="s">
        <v>109</v>
      </c>
      <c r="F140" s="1" t="s">
        <v>100</v>
      </c>
      <c r="G140" s="1" t="s">
        <v>116</v>
      </c>
      <c r="H140" s="15">
        <v>2</v>
      </c>
      <c r="I140" s="16">
        <v>34.9</v>
      </c>
      <c r="J140" s="17">
        <v>0.05</v>
      </c>
      <c r="K140" s="18">
        <f t="shared" si="6"/>
        <v>69.8</v>
      </c>
      <c r="L140" s="18">
        <f t="shared" si="7"/>
        <v>3.49</v>
      </c>
      <c r="M140" s="18">
        <f t="shared" si="8"/>
        <v>66.31</v>
      </c>
      <c r="N140" s="24" t="e">
        <f>VLOOKUP(Vendas[[#This Row],[Mes2]],Planilha1!$J:$K,2,FALSE)</f>
        <v>#N/A</v>
      </c>
      <c r="O140" s="26" t="s">
        <v>488</v>
      </c>
    </row>
    <row r="141" spans="1:15">
      <c r="A141" s="13" t="s">
        <v>251</v>
      </c>
      <c r="B141" s="14">
        <v>45791</v>
      </c>
      <c r="C141" s="1" t="s">
        <v>123</v>
      </c>
      <c r="D141" s="1" t="s">
        <v>114</v>
      </c>
      <c r="E141" s="1" t="s">
        <v>115</v>
      </c>
      <c r="F141" s="1" t="s">
        <v>106</v>
      </c>
      <c r="G141" s="1" t="s">
        <v>116</v>
      </c>
      <c r="H141" s="15">
        <v>3</v>
      </c>
      <c r="I141" s="16">
        <v>74.900000000000006</v>
      </c>
      <c r="J141" s="17">
        <v>0.1</v>
      </c>
      <c r="K141" s="18">
        <f t="shared" si="6"/>
        <v>224.70000000000002</v>
      </c>
      <c r="L141" s="18">
        <f t="shared" si="7"/>
        <v>22.470000000000002</v>
      </c>
      <c r="M141" s="18">
        <f t="shared" si="8"/>
        <v>202.23000000000002</v>
      </c>
      <c r="N141" s="24" t="e">
        <f>VLOOKUP(Vendas[[#This Row],[Mes2]],Planilha1!$J:$K,2,FALSE)</f>
        <v>#N/A</v>
      </c>
      <c r="O141" s="26" t="s">
        <v>488</v>
      </c>
    </row>
    <row r="142" spans="1:15">
      <c r="A142" s="13" t="s">
        <v>243</v>
      </c>
      <c r="B142" s="14">
        <v>45792</v>
      </c>
      <c r="C142" s="1" t="s">
        <v>111</v>
      </c>
      <c r="D142" s="1" t="s">
        <v>104</v>
      </c>
      <c r="E142" s="1" t="s">
        <v>99</v>
      </c>
      <c r="F142" s="1" t="s">
        <v>100</v>
      </c>
      <c r="G142" s="1" t="s">
        <v>116</v>
      </c>
      <c r="H142" s="15">
        <v>1</v>
      </c>
      <c r="I142" s="16">
        <v>28.9</v>
      </c>
      <c r="J142" s="17">
        <v>0.05</v>
      </c>
      <c r="K142" s="18">
        <f t="shared" si="6"/>
        <v>28.9</v>
      </c>
      <c r="L142" s="18">
        <f t="shared" si="7"/>
        <v>1.4450000000000001</v>
      </c>
      <c r="M142" s="18">
        <f t="shared" si="8"/>
        <v>27.454999999999998</v>
      </c>
      <c r="N142" s="24" t="e">
        <f>VLOOKUP(Vendas[[#This Row],[Mes2]],Planilha1!$J:$K,2,FALSE)</f>
        <v>#N/A</v>
      </c>
      <c r="O142" s="26" t="s">
        <v>488</v>
      </c>
    </row>
    <row r="143" spans="1:15">
      <c r="A143" s="13" t="s">
        <v>263</v>
      </c>
      <c r="B143" s="14">
        <v>45792</v>
      </c>
      <c r="C143" s="1" t="s">
        <v>121</v>
      </c>
      <c r="D143" s="1" t="s">
        <v>98</v>
      </c>
      <c r="E143" s="1" t="s">
        <v>105</v>
      </c>
      <c r="F143" s="1" t="s">
        <v>100</v>
      </c>
      <c r="G143" s="1" t="s">
        <v>107</v>
      </c>
      <c r="H143" s="15">
        <v>1</v>
      </c>
      <c r="I143" s="16">
        <v>12.9</v>
      </c>
      <c r="J143" s="17">
        <v>0.05</v>
      </c>
      <c r="K143" s="18">
        <f t="shared" si="6"/>
        <v>12.9</v>
      </c>
      <c r="L143" s="18">
        <f t="shared" si="7"/>
        <v>0.64500000000000002</v>
      </c>
      <c r="M143" s="18">
        <f t="shared" si="8"/>
        <v>12.255000000000001</v>
      </c>
      <c r="N143" s="24" t="e">
        <f>VLOOKUP(Vendas[[#This Row],[Mes2]],Planilha1!$J:$K,2,FALSE)</f>
        <v>#N/A</v>
      </c>
      <c r="O143" s="26" t="s">
        <v>488</v>
      </c>
    </row>
    <row r="144" spans="1:15">
      <c r="A144" s="13" t="s">
        <v>241</v>
      </c>
      <c r="B144" s="14">
        <v>45794</v>
      </c>
      <c r="C144" s="1" t="s">
        <v>111</v>
      </c>
      <c r="D144" s="1" t="s">
        <v>104</v>
      </c>
      <c r="E144" s="1" t="s">
        <v>115</v>
      </c>
      <c r="F144" s="1" t="s">
        <v>100</v>
      </c>
      <c r="G144" s="1" t="s">
        <v>143</v>
      </c>
      <c r="H144" s="15">
        <v>2</v>
      </c>
      <c r="I144" s="16">
        <v>28.9</v>
      </c>
      <c r="J144" s="17">
        <v>0.1</v>
      </c>
      <c r="K144" s="18">
        <f t="shared" si="6"/>
        <v>57.8</v>
      </c>
      <c r="L144" s="18">
        <f t="shared" si="7"/>
        <v>5.78</v>
      </c>
      <c r="M144" s="18">
        <f t="shared" si="8"/>
        <v>52.019999999999996</v>
      </c>
      <c r="N144" s="24" t="e">
        <f>VLOOKUP(Vendas[[#This Row],[Mes2]],Planilha1!$J:$K,2,FALSE)</f>
        <v>#N/A</v>
      </c>
      <c r="O144" s="26" t="s">
        <v>488</v>
      </c>
    </row>
    <row r="145" spans="1:15">
      <c r="A145" s="13" t="s">
        <v>242</v>
      </c>
      <c r="B145" s="14">
        <v>45794</v>
      </c>
      <c r="C145" s="1" t="s">
        <v>103</v>
      </c>
      <c r="D145" s="1" t="s">
        <v>104</v>
      </c>
      <c r="E145" s="1" t="s">
        <v>99</v>
      </c>
      <c r="F145" s="1" t="s">
        <v>100</v>
      </c>
      <c r="G145" s="1" t="s">
        <v>116</v>
      </c>
      <c r="H145" s="15">
        <v>1</v>
      </c>
      <c r="I145" s="16">
        <v>39.9</v>
      </c>
      <c r="J145" s="17">
        <v>0.1</v>
      </c>
      <c r="K145" s="18">
        <f t="shared" si="6"/>
        <v>39.9</v>
      </c>
      <c r="L145" s="18">
        <f t="shared" si="7"/>
        <v>3.99</v>
      </c>
      <c r="M145" s="18">
        <f t="shared" si="8"/>
        <v>35.909999999999997</v>
      </c>
      <c r="N145" s="24" t="e">
        <f>VLOOKUP(Vendas[[#This Row],[Mes2]],Planilha1!$J:$K,2,FALSE)</f>
        <v>#N/A</v>
      </c>
      <c r="O145" s="26" t="s">
        <v>488</v>
      </c>
    </row>
    <row r="146" spans="1:15">
      <c r="A146" s="13" t="s">
        <v>240</v>
      </c>
      <c r="B146" s="14">
        <v>45796</v>
      </c>
      <c r="C146" s="1" t="s">
        <v>113</v>
      </c>
      <c r="D146" s="1" t="s">
        <v>114</v>
      </c>
      <c r="E146" s="1" t="s">
        <v>126</v>
      </c>
      <c r="F146" s="1" t="s">
        <v>100</v>
      </c>
      <c r="G146" s="1" t="s">
        <v>107</v>
      </c>
      <c r="H146" s="15">
        <v>2</v>
      </c>
      <c r="I146" s="16">
        <v>18.899999999999999</v>
      </c>
      <c r="J146" s="17">
        <v>0.1</v>
      </c>
      <c r="K146" s="18">
        <f t="shared" si="6"/>
        <v>37.799999999999997</v>
      </c>
      <c r="L146" s="18">
        <f t="shared" si="7"/>
        <v>3.78</v>
      </c>
      <c r="M146" s="18">
        <f t="shared" si="8"/>
        <v>34.019999999999996</v>
      </c>
      <c r="N146" s="24" t="e">
        <f>VLOOKUP(Vendas[[#This Row],[Mes2]],Planilha1!$J:$K,2,FALSE)</f>
        <v>#N/A</v>
      </c>
      <c r="O146" s="26" t="s">
        <v>488</v>
      </c>
    </row>
    <row r="147" spans="1:15">
      <c r="A147" s="13" t="s">
        <v>252</v>
      </c>
      <c r="B147" s="14">
        <v>45797</v>
      </c>
      <c r="C147" s="1" t="s">
        <v>113</v>
      </c>
      <c r="D147" s="1" t="s">
        <v>114</v>
      </c>
      <c r="E147" s="1" t="s">
        <v>105</v>
      </c>
      <c r="F147" s="1" t="s">
        <v>100</v>
      </c>
      <c r="G147" s="1" t="s">
        <v>116</v>
      </c>
      <c r="H147" s="15">
        <v>1</v>
      </c>
      <c r="I147" s="16">
        <v>18.899999999999999</v>
      </c>
      <c r="J147" s="17">
        <v>0.15</v>
      </c>
      <c r="K147" s="18">
        <f t="shared" si="6"/>
        <v>18.899999999999999</v>
      </c>
      <c r="L147" s="18">
        <f t="shared" si="7"/>
        <v>2.8349999999999995</v>
      </c>
      <c r="M147" s="18">
        <f t="shared" si="8"/>
        <v>16.064999999999998</v>
      </c>
      <c r="N147" s="24" t="e">
        <f>VLOOKUP(Vendas[[#This Row],[Mes2]],Planilha1!$J:$K,2,FALSE)</f>
        <v>#N/A</v>
      </c>
      <c r="O147" s="26" t="s">
        <v>488</v>
      </c>
    </row>
    <row r="148" spans="1:15">
      <c r="A148" s="13" t="s">
        <v>265</v>
      </c>
      <c r="B148" s="14">
        <v>45798</v>
      </c>
      <c r="C148" s="1" t="s">
        <v>113</v>
      </c>
      <c r="D148" s="1" t="s">
        <v>114</v>
      </c>
      <c r="E148" s="1" t="s">
        <v>105</v>
      </c>
      <c r="F148" s="1" t="s">
        <v>100</v>
      </c>
      <c r="G148" s="1" t="s">
        <v>107</v>
      </c>
      <c r="H148" s="15">
        <v>1</v>
      </c>
      <c r="I148" s="16">
        <v>18.899999999999999</v>
      </c>
      <c r="J148" s="17">
        <v>0.1</v>
      </c>
      <c r="K148" s="18">
        <f t="shared" si="6"/>
        <v>18.899999999999999</v>
      </c>
      <c r="L148" s="18">
        <f t="shared" si="7"/>
        <v>1.89</v>
      </c>
      <c r="M148" s="18">
        <f t="shared" si="8"/>
        <v>17.009999999999998</v>
      </c>
      <c r="N148" s="24" t="e">
        <f>VLOOKUP(Vendas[[#This Row],[Mes2]],Planilha1!$J:$K,2,FALSE)</f>
        <v>#N/A</v>
      </c>
      <c r="O148" s="26" t="s">
        <v>488</v>
      </c>
    </row>
    <row r="149" spans="1:15">
      <c r="A149" s="13" t="s">
        <v>268</v>
      </c>
      <c r="B149" s="14">
        <v>45799</v>
      </c>
      <c r="C149" s="1" t="s">
        <v>118</v>
      </c>
      <c r="D149" s="1" t="s">
        <v>98</v>
      </c>
      <c r="E149" s="1" t="s">
        <v>105</v>
      </c>
      <c r="F149" s="1" t="s">
        <v>106</v>
      </c>
      <c r="G149" s="1" t="s">
        <v>116</v>
      </c>
      <c r="H149" s="15">
        <v>1</v>
      </c>
      <c r="I149" s="16">
        <v>89.9</v>
      </c>
      <c r="J149" s="17">
        <v>0.1</v>
      </c>
      <c r="K149" s="18">
        <f t="shared" si="6"/>
        <v>89.9</v>
      </c>
      <c r="L149" s="18">
        <f t="shared" si="7"/>
        <v>8.99</v>
      </c>
      <c r="M149" s="18">
        <f t="shared" si="8"/>
        <v>80.910000000000011</v>
      </c>
      <c r="N149" s="24" t="e">
        <f>VLOOKUP(Vendas[[#This Row],[Mes2]],Planilha1!$J:$K,2,FALSE)</f>
        <v>#N/A</v>
      </c>
      <c r="O149" s="26" t="s">
        <v>488</v>
      </c>
    </row>
    <row r="150" spans="1:15">
      <c r="A150" s="13" t="s">
        <v>239</v>
      </c>
      <c r="B150" s="14">
        <v>45800</v>
      </c>
      <c r="C150" s="1" t="s">
        <v>103</v>
      </c>
      <c r="D150" s="1" t="s">
        <v>104</v>
      </c>
      <c r="E150" s="1" t="s">
        <v>115</v>
      </c>
      <c r="F150" s="1" t="s">
        <v>100</v>
      </c>
      <c r="G150" s="1" t="s">
        <v>101</v>
      </c>
      <c r="H150" s="15">
        <v>2</v>
      </c>
      <c r="I150" s="16">
        <v>39.9</v>
      </c>
      <c r="J150" s="17">
        <v>0.05</v>
      </c>
      <c r="K150" s="18">
        <f t="shared" si="6"/>
        <v>79.8</v>
      </c>
      <c r="L150" s="18">
        <f t="shared" si="7"/>
        <v>3.99</v>
      </c>
      <c r="M150" s="18">
        <f t="shared" si="8"/>
        <v>75.81</v>
      </c>
      <c r="N150" s="24" t="e">
        <f>VLOOKUP(Vendas[[#This Row],[Mes2]],Planilha1!$J:$K,2,FALSE)</f>
        <v>#N/A</v>
      </c>
      <c r="O150" s="26" t="s">
        <v>488</v>
      </c>
    </row>
    <row r="151" spans="1:15">
      <c r="A151" s="13" t="s">
        <v>247</v>
      </c>
      <c r="B151" s="14">
        <v>45801</v>
      </c>
      <c r="C151" s="1" t="s">
        <v>103</v>
      </c>
      <c r="D151" s="1" t="s">
        <v>104</v>
      </c>
      <c r="E151" s="1" t="s">
        <v>105</v>
      </c>
      <c r="F151" s="1" t="s">
        <v>100</v>
      </c>
      <c r="G151" s="1" t="s">
        <v>116</v>
      </c>
      <c r="H151" s="15">
        <v>1</v>
      </c>
      <c r="I151" s="16">
        <v>39.9</v>
      </c>
      <c r="J151" s="17">
        <v>0.05</v>
      </c>
      <c r="K151" s="18">
        <f t="shared" si="6"/>
        <v>39.9</v>
      </c>
      <c r="L151" s="18">
        <f t="shared" si="7"/>
        <v>1.9950000000000001</v>
      </c>
      <c r="M151" s="18">
        <f t="shared" si="8"/>
        <v>37.905000000000001</v>
      </c>
      <c r="N151" s="24" t="e">
        <f>VLOOKUP(Vendas[[#This Row],[Mes2]],Planilha1!$J:$K,2,FALSE)</f>
        <v>#N/A</v>
      </c>
      <c r="O151" s="26" t="s">
        <v>488</v>
      </c>
    </row>
    <row r="152" spans="1:15">
      <c r="A152" s="13" t="s">
        <v>259</v>
      </c>
      <c r="B152" s="14">
        <v>45801</v>
      </c>
      <c r="C152" s="1" t="s">
        <v>111</v>
      </c>
      <c r="D152" s="1" t="s">
        <v>104</v>
      </c>
      <c r="E152" s="1" t="s">
        <v>99</v>
      </c>
      <c r="F152" s="1" t="s">
        <v>100</v>
      </c>
      <c r="G152" s="1" t="s">
        <v>101</v>
      </c>
      <c r="H152" s="15">
        <v>2</v>
      </c>
      <c r="I152" s="16">
        <v>28.9</v>
      </c>
      <c r="J152" s="17">
        <v>0.05</v>
      </c>
      <c r="K152" s="18">
        <f t="shared" si="6"/>
        <v>57.8</v>
      </c>
      <c r="L152" s="18">
        <f t="shared" si="7"/>
        <v>2.89</v>
      </c>
      <c r="M152" s="18">
        <f t="shared" si="8"/>
        <v>54.91</v>
      </c>
      <c r="N152" s="24" t="e">
        <f>VLOOKUP(Vendas[[#This Row],[Mes2]],Planilha1!$J:$K,2,FALSE)</f>
        <v>#N/A</v>
      </c>
      <c r="O152" s="26" t="s">
        <v>488</v>
      </c>
    </row>
    <row r="153" spans="1:15">
      <c r="A153" s="13" t="s">
        <v>261</v>
      </c>
      <c r="B153" s="14">
        <v>45803</v>
      </c>
      <c r="C153" s="1" t="s">
        <v>111</v>
      </c>
      <c r="D153" s="1" t="s">
        <v>104</v>
      </c>
      <c r="E153" s="1" t="s">
        <v>126</v>
      </c>
      <c r="F153" s="1" t="s">
        <v>128</v>
      </c>
      <c r="G153" s="1" t="s">
        <v>101</v>
      </c>
      <c r="H153" s="15">
        <v>2</v>
      </c>
      <c r="I153" s="16">
        <v>28.9</v>
      </c>
      <c r="J153" s="17">
        <v>0.15</v>
      </c>
      <c r="K153" s="18">
        <f t="shared" si="6"/>
        <v>57.8</v>
      </c>
      <c r="L153" s="18">
        <f t="shared" si="7"/>
        <v>8.67</v>
      </c>
      <c r="M153" s="18">
        <f t="shared" si="8"/>
        <v>49.129999999999995</v>
      </c>
      <c r="N153" s="24" t="e">
        <f>VLOOKUP(Vendas[[#This Row],[Mes2]],Planilha1!$J:$K,2,FALSE)</f>
        <v>#N/A</v>
      </c>
      <c r="O153" s="26" t="s">
        <v>488</v>
      </c>
    </row>
    <row r="154" spans="1:15">
      <c r="A154" s="13" t="s">
        <v>256</v>
      </c>
      <c r="B154" s="14">
        <v>45804</v>
      </c>
      <c r="C154" s="1" t="s">
        <v>121</v>
      </c>
      <c r="D154" s="1" t="s">
        <v>98</v>
      </c>
      <c r="E154" s="1" t="s">
        <v>99</v>
      </c>
      <c r="F154" s="1" t="s">
        <v>100</v>
      </c>
      <c r="G154" s="1" t="s">
        <v>116</v>
      </c>
      <c r="H154" s="15">
        <v>1</v>
      </c>
      <c r="I154" s="16">
        <v>12.9</v>
      </c>
      <c r="J154" s="17">
        <v>0.15</v>
      </c>
      <c r="K154" s="18">
        <f t="shared" si="6"/>
        <v>12.9</v>
      </c>
      <c r="L154" s="18">
        <f t="shared" si="7"/>
        <v>1.9350000000000001</v>
      </c>
      <c r="M154" s="18">
        <f t="shared" si="8"/>
        <v>10.965</v>
      </c>
      <c r="N154" s="24" t="e">
        <f>VLOOKUP(Vendas[[#This Row],[Mes2]],Planilha1!$J:$K,2,FALSE)</f>
        <v>#N/A</v>
      </c>
      <c r="O154" s="26" t="s">
        <v>488</v>
      </c>
    </row>
    <row r="155" spans="1:15">
      <c r="A155" s="13" t="s">
        <v>295</v>
      </c>
      <c r="B155" s="14">
        <v>45809</v>
      </c>
      <c r="C155" s="1" t="s">
        <v>111</v>
      </c>
      <c r="D155" s="1" t="s">
        <v>104</v>
      </c>
      <c r="E155" s="1" t="s">
        <v>126</v>
      </c>
      <c r="F155" s="1" t="s">
        <v>100</v>
      </c>
      <c r="G155" s="1" t="s">
        <v>101</v>
      </c>
      <c r="H155" s="15">
        <v>1</v>
      </c>
      <c r="I155" s="16">
        <v>28.9</v>
      </c>
      <c r="J155" s="17">
        <v>0</v>
      </c>
      <c r="K155" s="18">
        <f t="shared" si="6"/>
        <v>28.9</v>
      </c>
      <c r="L155" s="18">
        <f t="shared" si="7"/>
        <v>0</v>
      </c>
      <c r="M155" s="18">
        <f t="shared" si="8"/>
        <v>28.9</v>
      </c>
      <c r="N155" s="24" t="e">
        <f>VLOOKUP(Vendas[[#This Row],[Mes2]],Planilha1!$J:$K,2,FALSE)</f>
        <v>#N/A</v>
      </c>
      <c r="O155" s="26" t="s">
        <v>489</v>
      </c>
    </row>
    <row r="156" spans="1:15">
      <c r="A156" s="13" t="s">
        <v>292</v>
      </c>
      <c r="B156" s="14">
        <v>45810</v>
      </c>
      <c r="C156" s="1" t="s">
        <v>118</v>
      </c>
      <c r="D156" s="1" t="s">
        <v>98</v>
      </c>
      <c r="E156" s="1" t="s">
        <v>126</v>
      </c>
      <c r="F156" s="1" t="s">
        <v>106</v>
      </c>
      <c r="G156" s="1" t="s">
        <v>107</v>
      </c>
      <c r="H156" s="15">
        <v>1</v>
      </c>
      <c r="I156" s="16">
        <v>89.9</v>
      </c>
      <c r="J156" s="17">
        <v>0</v>
      </c>
      <c r="K156" s="18">
        <f t="shared" si="6"/>
        <v>89.9</v>
      </c>
      <c r="L156" s="18">
        <f t="shared" si="7"/>
        <v>0</v>
      </c>
      <c r="M156" s="18">
        <f t="shared" si="8"/>
        <v>89.9</v>
      </c>
      <c r="N156" s="24" t="e">
        <f>VLOOKUP(Vendas[[#This Row],[Mes2]],Planilha1!$J:$K,2,FALSE)</f>
        <v>#N/A</v>
      </c>
      <c r="O156" s="26" t="s">
        <v>489</v>
      </c>
    </row>
    <row r="157" spans="1:15">
      <c r="A157" s="13" t="s">
        <v>272</v>
      </c>
      <c r="B157" s="14">
        <v>45811</v>
      </c>
      <c r="C157" s="1" t="s">
        <v>123</v>
      </c>
      <c r="D157" s="1" t="s">
        <v>114</v>
      </c>
      <c r="E157" s="1" t="s">
        <v>115</v>
      </c>
      <c r="F157" s="1" t="s">
        <v>100</v>
      </c>
      <c r="G157" s="1" t="s">
        <v>143</v>
      </c>
      <c r="H157" s="15">
        <v>3</v>
      </c>
      <c r="I157" s="16">
        <v>74.900000000000006</v>
      </c>
      <c r="J157" s="17">
        <v>0</v>
      </c>
      <c r="K157" s="18">
        <f t="shared" si="6"/>
        <v>224.70000000000002</v>
      </c>
      <c r="L157" s="18">
        <f t="shared" si="7"/>
        <v>0</v>
      </c>
      <c r="M157" s="18">
        <f t="shared" si="8"/>
        <v>224.70000000000002</v>
      </c>
      <c r="N157" s="24" t="e">
        <f>VLOOKUP(Vendas[[#This Row],[Mes2]],Planilha1!$J:$K,2,FALSE)</f>
        <v>#N/A</v>
      </c>
      <c r="O157" s="26" t="s">
        <v>489</v>
      </c>
    </row>
    <row r="158" spans="1:15">
      <c r="A158" s="13" t="s">
        <v>273</v>
      </c>
      <c r="B158" s="14">
        <v>45812</v>
      </c>
      <c r="C158" s="1" t="s">
        <v>121</v>
      </c>
      <c r="D158" s="1" t="s">
        <v>98</v>
      </c>
      <c r="E158" s="1" t="s">
        <v>115</v>
      </c>
      <c r="F158" s="1" t="s">
        <v>100</v>
      </c>
      <c r="G158" s="1" t="s">
        <v>116</v>
      </c>
      <c r="H158" s="15">
        <v>3</v>
      </c>
      <c r="I158" s="16">
        <v>12.9</v>
      </c>
      <c r="J158" s="17">
        <v>0.05</v>
      </c>
      <c r="K158" s="18">
        <f t="shared" si="6"/>
        <v>38.700000000000003</v>
      </c>
      <c r="L158" s="18">
        <f t="shared" si="7"/>
        <v>1.9350000000000003</v>
      </c>
      <c r="M158" s="18">
        <f t="shared" si="8"/>
        <v>36.765000000000001</v>
      </c>
      <c r="N158" s="24" t="e">
        <f>VLOOKUP(Vendas[[#This Row],[Mes2]],Planilha1!$J:$K,2,FALSE)</f>
        <v>#N/A</v>
      </c>
      <c r="O158" s="26" t="s">
        <v>489</v>
      </c>
    </row>
    <row r="159" spans="1:15">
      <c r="A159" s="13" t="s">
        <v>284</v>
      </c>
      <c r="B159" s="14">
        <v>45813</v>
      </c>
      <c r="C159" s="1" t="s">
        <v>134</v>
      </c>
      <c r="D159" s="1" t="s">
        <v>104</v>
      </c>
      <c r="E159" s="1" t="s">
        <v>109</v>
      </c>
      <c r="F159" s="1" t="s">
        <v>128</v>
      </c>
      <c r="G159" s="1" t="s">
        <v>101</v>
      </c>
      <c r="H159" s="15">
        <v>1</v>
      </c>
      <c r="I159" s="16">
        <v>79.900000000000006</v>
      </c>
      <c r="J159" s="17">
        <v>0.15</v>
      </c>
      <c r="K159" s="18">
        <f t="shared" si="6"/>
        <v>79.900000000000006</v>
      </c>
      <c r="L159" s="18">
        <f t="shared" si="7"/>
        <v>11.985000000000001</v>
      </c>
      <c r="M159" s="18">
        <f t="shared" si="8"/>
        <v>67.915000000000006</v>
      </c>
      <c r="N159" s="24" t="e">
        <f>VLOOKUP(Vendas[[#This Row],[Mes2]],Planilha1!$J:$K,2,FALSE)</f>
        <v>#N/A</v>
      </c>
      <c r="O159" s="26" t="s">
        <v>489</v>
      </c>
    </row>
    <row r="160" spans="1:15">
      <c r="A160" s="13" t="s">
        <v>270</v>
      </c>
      <c r="B160" s="14">
        <v>45814</v>
      </c>
      <c r="C160" s="1" t="s">
        <v>111</v>
      </c>
      <c r="D160" s="1" t="s">
        <v>104</v>
      </c>
      <c r="E160" s="1" t="s">
        <v>105</v>
      </c>
      <c r="F160" s="1" t="s">
        <v>100</v>
      </c>
      <c r="G160" s="1" t="s">
        <v>101</v>
      </c>
      <c r="H160" s="15">
        <v>2</v>
      </c>
      <c r="I160" s="16">
        <v>28.9</v>
      </c>
      <c r="J160" s="17">
        <v>0.05</v>
      </c>
      <c r="K160" s="18">
        <f t="shared" si="6"/>
        <v>57.8</v>
      </c>
      <c r="L160" s="18">
        <f t="shared" si="7"/>
        <v>2.89</v>
      </c>
      <c r="M160" s="18">
        <f t="shared" si="8"/>
        <v>54.91</v>
      </c>
      <c r="N160" s="24" t="e">
        <f>VLOOKUP(Vendas[[#This Row],[Mes2]],Planilha1!$J:$K,2,FALSE)</f>
        <v>#N/A</v>
      </c>
      <c r="O160" s="26" t="s">
        <v>489</v>
      </c>
    </row>
    <row r="161" spans="1:15">
      <c r="A161" s="13" t="s">
        <v>278</v>
      </c>
      <c r="B161" s="14">
        <v>45814</v>
      </c>
      <c r="C161" s="1" t="s">
        <v>134</v>
      </c>
      <c r="D161" s="1" t="s">
        <v>104</v>
      </c>
      <c r="E161" s="1" t="s">
        <v>99</v>
      </c>
      <c r="F161" s="1" t="s">
        <v>106</v>
      </c>
      <c r="G161" s="1" t="s">
        <v>107</v>
      </c>
      <c r="H161" s="15">
        <v>1</v>
      </c>
      <c r="I161" s="16">
        <v>79.900000000000006</v>
      </c>
      <c r="J161" s="17">
        <v>0.05</v>
      </c>
      <c r="K161" s="18">
        <f t="shared" si="6"/>
        <v>79.900000000000006</v>
      </c>
      <c r="L161" s="18">
        <f t="shared" si="7"/>
        <v>3.9950000000000006</v>
      </c>
      <c r="M161" s="18">
        <f t="shared" si="8"/>
        <v>75.905000000000001</v>
      </c>
      <c r="N161" s="24" t="e">
        <f>VLOOKUP(Vendas[[#This Row],[Mes2]],Planilha1!$J:$K,2,FALSE)</f>
        <v>#N/A</v>
      </c>
      <c r="O161" s="26" t="s">
        <v>489</v>
      </c>
    </row>
    <row r="162" spans="1:15">
      <c r="A162" s="13" t="s">
        <v>296</v>
      </c>
      <c r="B162" s="14">
        <v>45814</v>
      </c>
      <c r="C162" s="1" t="s">
        <v>113</v>
      </c>
      <c r="D162" s="1" t="s">
        <v>114</v>
      </c>
      <c r="E162" s="1" t="s">
        <v>115</v>
      </c>
      <c r="F162" s="1" t="s">
        <v>100</v>
      </c>
      <c r="G162" s="1" t="s">
        <v>116</v>
      </c>
      <c r="H162" s="15">
        <v>2</v>
      </c>
      <c r="I162" s="16">
        <v>18.899999999999999</v>
      </c>
      <c r="J162" s="17">
        <v>0.05</v>
      </c>
      <c r="K162" s="18">
        <f t="shared" si="6"/>
        <v>37.799999999999997</v>
      </c>
      <c r="L162" s="18">
        <f t="shared" si="7"/>
        <v>1.89</v>
      </c>
      <c r="M162" s="18">
        <f t="shared" si="8"/>
        <v>35.909999999999997</v>
      </c>
      <c r="N162" s="24" t="e">
        <f>VLOOKUP(Vendas[[#This Row],[Mes2]],Planilha1!$J:$K,2,FALSE)</f>
        <v>#N/A</v>
      </c>
      <c r="O162" s="26" t="s">
        <v>489</v>
      </c>
    </row>
    <row r="163" spans="1:15">
      <c r="A163" s="13" t="s">
        <v>286</v>
      </c>
      <c r="B163" s="14">
        <v>45816</v>
      </c>
      <c r="C163" s="1" t="s">
        <v>111</v>
      </c>
      <c r="D163" s="1" t="s">
        <v>104</v>
      </c>
      <c r="E163" s="1" t="s">
        <v>99</v>
      </c>
      <c r="F163" s="1" t="s">
        <v>100</v>
      </c>
      <c r="G163" s="1" t="s">
        <v>101</v>
      </c>
      <c r="H163" s="15">
        <v>3</v>
      </c>
      <c r="I163" s="16">
        <v>28.9</v>
      </c>
      <c r="J163" s="17">
        <v>0.15</v>
      </c>
      <c r="K163" s="18">
        <f t="shared" si="6"/>
        <v>86.699999999999989</v>
      </c>
      <c r="L163" s="18">
        <f t="shared" si="7"/>
        <v>13.004999999999997</v>
      </c>
      <c r="M163" s="18">
        <f t="shared" si="8"/>
        <v>73.694999999999993</v>
      </c>
      <c r="N163" s="24" t="e">
        <f>VLOOKUP(Vendas[[#This Row],[Mes2]],Planilha1!$J:$K,2,FALSE)</f>
        <v>#N/A</v>
      </c>
      <c r="O163" s="26" t="s">
        <v>489</v>
      </c>
    </row>
    <row r="164" spans="1:15">
      <c r="A164" s="13" t="s">
        <v>282</v>
      </c>
      <c r="B164" s="14">
        <v>45817</v>
      </c>
      <c r="C164" s="1" t="s">
        <v>118</v>
      </c>
      <c r="D164" s="1" t="s">
        <v>98</v>
      </c>
      <c r="E164" s="1" t="s">
        <v>109</v>
      </c>
      <c r="F164" s="1" t="s">
        <v>106</v>
      </c>
      <c r="G164" s="1" t="s">
        <v>101</v>
      </c>
      <c r="H164" s="15">
        <v>1</v>
      </c>
      <c r="I164" s="16">
        <v>89.9</v>
      </c>
      <c r="J164" s="17">
        <v>0</v>
      </c>
      <c r="K164" s="18">
        <f t="shared" si="6"/>
        <v>89.9</v>
      </c>
      <c r="L164" s="18">
        <f t="shared" si="7"/>
        <v>0</v>
      </c>
      <c r="M164" s="18">
        <f t="shared" si="8"/>
        <v>89.9</v>
      </c>
      <c r="N164" s="24" t="e">
        <f>VLOOKUP(Vendas[[#This Row],[Mes2]],Planilha1!$J:$K,2,FALSE)</f>
        <v>#N/A</v>
      </c>
      <c r="O164" s="26" t="s">
        <v>489</v>
      </c>
    </row>
    <row r="165" spans="1:15">
      <c r="A165" s="13" t="s">
        <v>290</v>
      </c>
      <c r="B165" s="14">
        <v>45818</v>
      </c>
      <c r="C165" s="1" t="s">
        <v>121</v>
      </c>
      <c r="D165" s="1" t="s">
        <v>98</v>
      </c>
      <c r="E165" s="1" t="s">
        <v>105</v>
      </c>
      <c r="F165" s="1" t="s">
        <v>106</v>
      </c>
      <c r="G165" s="1" t="s">
        <v>116</v>
      </c>
      <c r="H165" s="15">
        <v>3</v>
      </c>
      <c r="I165" s="16">
        <v>12.9</v>
      </c>
      <c r="J165" s="17">
        <v>0.1</v>
      </c>
      <c r="K165" s="18">
        <f t="shared" si="6"/>
        <v>38.700000000000003</v>
      </c>
      <c r="L165" s="18">
        <f t="shared" si="7"/>
        <v>3.8700000000000006</v>
      </c>
      <c r="M165" s="18">
        <f t="shared" si="8"/>
        <v>34.830000000000005</v>
      </c>
      <c r="N165" s="24" t="e">
        <f>VLOOKUP(Vendas[[#This Row],[Mes2]],Planilha1!$J:$K,2,FALSE)</f>
        <v>#N/A</v>
      </c>
      <c r="O165" s="26" t="s">
        <v>489</v>
      </c>
    </row>
    <row r="166" spans="1:15">
      <c r="A166" s="13" t="s">
        <v>269</v>
      </c>
      <c r="B166" s="14">
        <v>45822</v>
      </c>
      <c r="C166" s="1" t="s">
        <v>111</v>
      </c>
      <c r="D166" s="1" t="s">
        <v>104</v>
      </c>
      <c r="E166" s="1" t="s">
        <v>99</v>
      </c>
      <c r="F166" s="1" t="s">
        <v>100</v>
      </c>
      <c r="G166" s="1" t="s">
        <v>101</v>
      </c>
      <c r="H166" s="15">
        <v>1</v>
      </c>
      <c r="I166" s="16">
        <v>28.9</v>
      </c>
      <c r="J166" s="17">
        <v>0.15</v>
      </c>
      <c r="K166" s="18">
        <f t="shared" si="6"/>
        <v>28.9</v>
      </c>
      <c r="L166" s="18">
        <f t="shared" si="7"/>
        <v>4.335</v>
      </c>
      <c r="M166" s="18">
        <f t="shared" si="8"/>
        <v>24.564999999999998</v>
      </c>
      <c r="N166" s="24" t="e">
        <f>VLOOKUP(Vendas[[#This Row],[Mes2]],Planilha1!$J:$K,2,FALSE)</f>
        <v>#N/A</v>
      </c>
      <c r="O166" s="26" t="s">
        <v>489</v>
      </c>
    </row>
    <row r="167" spans="1:15">
      <c r="A167" s="13" t="s">
        <v>274</v>
      </c>
      <c r="B167" s="14">
        <v>45824</v>
      </c>
      <c r="C167" s="1" t="s">
        <v>121</v>
      </c>
      <c r="D167" s="1" t="s">
        <v>98</v>
      </c>
      <c r="E167" s="1" t="s">
        <v>109</v>
      </c>
      <c r="F167" s="1" t="s">
        <v>100</v>
      </c>
      <c r="G167" s="1" t="s">
        <v>107</v>
      </c>
      <c r="H167" s="15">
        <v>1</v>
      </c>
      <c r="I167" s="16">
        <v>12.9</v>
      </c>
      <c r="J167" s="17">
        <v>0.15</v>
      </c>
      <c r="K167" s="18">
        <f t="shared" si="6"/>
        <v>12.9</v>
      </c>
      <c r="L167" s="18">
        <f t="shared" si="7"/>
        <v>1.9350000000000001</v>
      </c>
      <c r="M167" s="18">
        <f t="shared" si="8"/>
        <v>10.965</v>
      </c>
      <c r="N167" s="24" t="e">
        <f>VLOOKUP(Vendas[[#This Row],[Mes2]],Planilha1!$J:$K,2,FALSE)</f>
        <v>#N/A</v>
      </c>
      <c r="O167" s="26" t="s">
        <v>489</v>
      </c>
    </row>
    <row r="168" spans="1:15">
      <c r="A168" s="13" t="s">
        <v>285</v>
      </c>
      <c r="B168" s="14">
        <v>45824</v>
      </c>
      <c r="C168" s="1" t="s">
        <v>134</v>
      </c>
      <c r="D168" s="1" t="s">
        <v>104</v>
      </c>
      <c r="E168" s="1" t="s">
        <v>115</v>
      </c>
      <c r="F168" s="1" t="s">
        <v>128</v>
      </c>
      <c r="G168" s="1" t="s">
        <v>116</v>
      </c>
      <c r="H168" s="15">
        <v>2</v>
      </c>
      <c r="I168" s="16">
        <v>79.900000000000006</v>
      </c>
      <c r="J168" s="17">
        <v>0.05</v>
      </c>
      <c r="K168" s="18">
        <f t="shared" si="6"/>
        <v>159.80000000000001</v>
      </c>
      <c r="L168" s="18">
        <f t="shared" si="7"/>
        <v>7.9900000000000011</v>
      </c>
      <c r="M168" s="18">
        <f t="shared" si="8"/>
        <v>151.81</v>
      </c>
      <c r="N168" s="24" t="e">
        <f>VLOOKUP(Vendas[[#This Row],[Mes2]],Planilha1!$J:$K,2,FALSE)</f>
        <v>#N/A</v>
      </c>
      <c r="O168" s="26" t="s">
        <v>489</v>
      </c>
    </row>
    <row r="169" spans="1:15">
      <c r="A169" s="13" t="s">
        <v>298</v>
      </c>
      <c r="B169" s="14">
        <v>45825</v>
      </c>
      <c r="C169" s="1" t="s">
        <v>103</v>
      </c>
      <c r="D169" s="1" t="s">
        <v>104</v>
      </c>
      <c r="E169" s="1" t="s">
        <v>126</v>
      </c>
      <c r="F169" s="1" t="s">
        <v>100</v>
      </c>
      <c r="G169" s="1" t="s">
        <v>107</v>
      </c>
      <c r="H169" s="15">
        <v>1</v>
      </c>
      <c r="I169" s="16">
        <v>39.9</v>
      </c>
      <c r="J169" s="17">
        <v>0.1</v>
      </c>
      <c r="K169" s="18">
        <f t="shared" si="6"/>
        <v>39.9</v>
      </c>
      <c r="L169" s="18">
        <f t="shared" si="7"/>
        <v>3.99</v>
      </c>
      <c r="M169" s="18">
        <f t="shared" si="8"/>
        <v>35.909999999999997</v>
      </c>
      <c r="N169" s="24" t="e">
        <f>VLOOKUP(Vendas[[#This Row],[Mes2]],Planilha1!$J:$K,2,FALSE)</f>
        <v>#N/A</v>
      </c>
      <c r="O169" s="26" t="s">
        <v>489</v>
      </c>
    </row>
    <row r="170" spans="1:15">
      <c r="A170" s="13" t="s">
        <v>277</v>
      </c>
      <c r="B170" s="14">
        <v>45827</v>
      </c>
      <c r="C170" s="1" t="s">
        <v>103</v>
      </c>
      <c r="D170" s="1" t="s">
        <v>104</v>
      </c>
      <c r="E170" s="1" t="s">
        <v>126</v>
      </c>
      <c r="F170" s="1" t="s">
        <v>106</v>
      </c>
      <c r="G170" s="1" t="s">
        <v>101</v>
      </c>
      <c r="H170" s="15">
        <v>3</v>
      </c>
      <c r="I170" s="16">
        <v>39.9</v>
      </c>
      <c r="J170" s="17">
        <v>0.05</v>
      </c>
      <c r="K170" s="18">
        <f t="shared" si="6"/>
        <v>119.69999999999999</v>
      </c>
      <c r="L170" s="18">
        <f t="shared" si="7"/>
        <v>5.9849999999999994</v>
      </c>
      <c r="M170" s="18">
        <f t="shared" si="8"/>
        <v>113.71499999999999</v>
      </c>
      <c r="N170" s="24" t="e">
        <f>VLOOKUP(Vendas[[#This Row],[Mes2]],Planilha1!$J:$K,2,FALSE)</f>
        <v>#N/A</v>
      </c>
      <c r="O170" s="26" t="s">
        <v>489</v>
      </c>
    </row>
    <row r="171" spans="1:15">
      <c r="A171" s="13" t="s">
        <v>287</v>
      </c>
      <c r="B171" s="14">
        <v>45827</v>
      </c>
      <c r="C171" s="1" t="s">
        <v>121</v>
      </c>
      <c r="D171" s="1" t="s">
        <v>98</v>
      </c>
      <c r="E171" s="1" t="s">
        <v>105</v>
      </c>
      <c r="F171" s="1" t="s">
        <v>106</v>
      </c>
      <c r="G171" s="1" t="s">
        <v>107</v>
      </c>
      <c r="H171" s="15">
        <v>1</v>
      </c>
      <c r="I171" s="16">
        <v>12.9</v>
      </c>
      <c r="J171" s="17">
        <v>0.1</v>
      </c>
      <c r="K171" s="18">
        <f t="shared" si="6"/>
        <v>12.9</v>
      </c>
      <c r="L171" s="18">
        <f t="shared" si="7"/>
        <v>1.29</v>
      </c>
      <c r="M171" s="18">
        <f t="shared" si="8"/>
        <v>11.61</v>
      </c>
      <c r="N171" s="24" t="e">
        <f>VLOOKUP(Vendas[[#This Row],[Mes2]],Planilha1!$J:$K,2,FALSE)</f>
        <v>#N/A</v>
      </c>
      <c r="O171" s="26" t="s">
        <v>489</v>
      </c>
    </row>
    <row r="172" spans="1:15">
      <c r="A172" s="13" t="s">
        <v>280</v>
      </c>
      <c r="B172" s="14">
        <v>45828</v>
      </c>
      <c r="C172" s="1" t="s">
        <v>113</v>
      </c>
      <c r="D172" s="1" t="s">
        <v>114</v>
      </c>
      <c r="E172" s="1" t="s">
        <v>126</v>
      </c>
      <c r="F172" s="1" t="s">
        <v>128</v>
      </c>
      <c r="G172" s="1" t="s">
        <v>107</v>
      </c>
      <c r="H172" s="15">
        <v>3</v>
      </c>
      <c r="I172" s="16">
        <v>18.899999999999999</v>
      </c>
      <c r="J172" s="17">
        <v>0</v>
      </c>
      <c r="K172" s="18">
        <f t="shared" si="6"/>
        <v>56.699999999999996</v>
      </c>
      <c r="L172" s="18">
        <f t="shared" si="7"/>
        <v>0</v>
      </c>
      <c r="M172" s="18">
        <f t="shared" si="8"/>
        <v>56.699999999999996</v>
      </c>
      <c r="N172" s="24" t="e">
        <f>VLOOKUP(Vendas[[#This Row],[Mes2]],Planilha1!$J:$K,2,FALSE)</f>
        <v>#N/A</v>
      </c>
      <c r="O172" s="26" t="s">
        <v>489</v>
      </c>
    </row>
    <row r="173" spans="1:15">
      <c r="A173" s="13" t="s">
        <v>289</v>
      </c>
      <c r="B173" s="14">
        <v>45829</v>
      </c>
      <c r="C173" s="1" t="s">
        <v>97</v>
      </c>
      <c r="D173" s="1" t="s">
        <v>98</v>
      </c>
      <c r="E173" s="1" t="s">
        <v>109</v>
      </c>
      <c r="F173" s="1" t="s">
        <v>106</v>
      </c>
      <c r="G173" s="1" t="s">
        <v>143</v>
      </c>
      <c r="H173" s="15">
        <v>1</v>
      </c>
      <c r="I173" s="16">
        <v>34.9</v>
      </c>
      <c r="J173" s="17">
        <v>0.1</v>
      </c>
      <c r="K173" s="18">
        <f t="shared" si="6"/>
        <v>34.9</v>
      </c>
      <c r="L173" s="18">
        <f t="shared" si="7"/>
        <v>3.49</v>
      </c>
      <c r="M173" s="18">
        <f t="shared" si="8"/>
        <v>31.409999999999997</v>
      </c>
      <c r="N173" s="24" t="e">
        <f>VLOOKUP(Vendas[[#This Row],[Mes2]],Planilha1!$J:$K,2,FALSE)</f>
        <v>#N/A</v>
      </c>
      <c r="O173" s="26" t="s">
        <v>489</v>
      </c>
    </row>
    <row r="174" spans="1:15">
      <c r="A174" s="13" t="s">
        <v>271</v>
      </c>
      <c r="B174" s="14">
        <v>45831</v>
      </c>
      <c r="C174" s="1" t="s">
        <v>111</v>
      </c>
      <c r="D174" s="1" t="s">
        <v>104</v>
      </c>
      <c r="E174" s="1" t="s">
        <v>115</v>
      </c>
      <c r="F174" s="1" t="s">
        <v>100</v>
      </c>
      <c r="G174" s="1" t="s">
        <v>101</v>
      </c>
      <c r="H174" s="15">
        <v>2</v>
      </c>
      <c r="I174" s="16">
        <v>28.9</v>
      </c>
      <c r="J174" s="17">
        <v>0.05</v>
      </c>
      <c r="K174" s="18">
        <f t="shared" si="6"/>
        <v>57.8</v>
      </c>
      <c r="L174" s="18">
        <f t="shared" si="7"/>
        <v>2.89</v>
      </c>
      <c r="M174" s="18">
        <f t="shared" si="8"/>
        <v>54.91</v>
      </c>
      <c r="N174" s="24" t="e">
        <f>VLOOKUP(Vendas[[#This Row],[Mes2]],Planilha1!$J:$K,2,FALSE)</f>
        <v>#N/A</v>
      </c>
      <c r="O174" s="26" t="s">
        <v>489</v>
      </c>
    </row>
    <row r="175" spans="1:15">
      <c r="A175" s="13" t="s">
        <v>283</v>
      </c>
      <c r="B175" s="14">
        <v>45831</v>
      </c>
      <c r="C175" s="1" t="s">
        <v>113</v>
      </c>
      <c r="D175" s="1" t="s">
        <v>114</v>
      </c>
      <c r="E175" s="1" t="s">
        <v>115</v>
      </c>
      <c r="F175" s="1" t="s">
        <v>100</v>
      </c>
      <c r="G175" s="1" t="s">
        <v>107</v>
      </c>
      <c r="H175" s="15">
        <v>3</v>
      </c>
      <c r="I175" s="16">
        <v>18.899999999999999</v>
      </c>
      <c r="J175" s="17">
        <v>0.1</v>
      </c>
      <c r="K175" s="18">
        <f t="shared" si="6"/>
        <v>56.699999999999996</v>
      </c>
      <c r="L175" s="18">
        <f t="shared" si="7"/>
        <v>5.67</v>
      </c>
      <c r="M175" s="18">
        <f t="shared" si="8"/>
        <v>51.029999999999994</v>
      </c>
      <c r="N175" s="24" t="e">
        <f>VLOOKUP(Vendas[[#This Row],[Mes2]],Planilha1!$J:$K,2,FALSE)</f>
        <v>#N/A</v>
      </c>
      <c r="O175" s="26" t="s">
        <v>489</v>
      </c>
    </row>
    <row r="176" spans="1:15">
      <c r="A176" s="13" t="s">
        <v>275</v>
      </c>
      <c r="B176" s="14">
        <v>45832</v>
      </c>
      <c r="C176" s="1" t="s">
        <v>123</v>
      </c>
      <c r="D176" s="1" t="s">
        <v>114</v>
      </c>
      <c r="E176" s="1" t="s">
        <v>105</v>
      </c>
      <c r="F176" s="1" t="s">
        <v>100</v>
      </c>
      <c r="G176" s="1" t="s">
        <v>101</v>
      </c>
      <c r="H176" s="15">
        <v>1</v>
      </c>
      <c r="I176" s="16">
        <v>74.900000000000006</v>
      </c>
      <c r="J176" s="17">
        <v>0.05</v>
      </c>
      <c r="K176" s="18">
        <f t="shared" si="6"/>
        <v>74.900000000000006</v>
      </c>
      <c r="L176" s="18">
        <f t="shared" si="7"/>
        <v>3.7450000000000006</v>
      </c>
      <c r="M176" s="18">
        <f t="shared" si="8"/>
        <v>71.155000000000001</v>
      </c>
      <c r="N176" s="24" t="e">
        <f>VLOOKUP(Vendas[[#This Row],[Mes2]],Planilha1!$J:$K,2,FALSE)</f>
        <v>#N/A</v>
      </c>
      <c r="O176" s="26" t="s">
        <v>489</v>
      </c>
    </row>
    <row r="177" spans="1:15">
      <c r="A177" s="13" t="s">
        <v>279</v>
      </c>
      <c r="B177" s="14">
        <v>45832</v>
      </c>
      <c r="C177" s="1" t="s">
        <v>97</v>
      </c>
      <c r="D177" s="1" t="s">
        <v>98</v>
      </c>
      <c r="E177" s="1" t="s">
        <v>109</v>
      </c>
      <c r="F177" s="1" t="s">
        <v>106</v>
      </c>
      <c r="G177" s="1" t="s">
        <v>116</v>
      </c>
      <c r="H177" s="15">
        <v>2</v>
      </c>
      <c r="I177" s="16">
        <v>34.9</v>
      </c>
      <c r="J177" s="17">
        <v>0</v>
      </c>
      <c r="K177" s="18">
        <f t="shared" si="6"/>
        <v>69.8</v>
      </c>
      <c r="L177" s="18">
        <f t="shared" si="7"/>
        <v>0</v>
      </c>
      <c r="M177" s="18">
        <f t="shared" si="8"/>
        <v>69.8</v>
      </c>
      <c r="N177" s="24" t="e">
        <f>VLOOKUP(Vendas[[#This Row],[Mes2]],Planilha1!$J:$K,2,FALSE)</f>
        <v>#N/A</v>
      </c>
      <c r="O177" s="26" t="s">
        <v>489</v>
      </c>
    </row>
    <row r="178" spans="1:15">
      <c r="A178" s="13" t="s">
        <v>276</v>
      </c>
      <c r="B178" s="14">
        <v>45834</v>
      </c>
      <c r="C178" s="1" t="s">
        <v>97</v>
      </c>
      <c r="D178" s="1" t="s">
        <v>98</v>
      </c>
      <c r="E178" s="1" t="s">
        <v>99</v>
      </c>
      <c r="F178" s="1" t="s">
        <v>106</v>
      </c>
      <c r="G178" s="1" t="s">
        <v>116</v>
      </c>
      <c r="H178" s="15">
        <v>3</v>
      </c>
      <c r="I178" s="16">
        <v>34.9</v>
      </c>
      <c r="J178" s="17">
        <v>0.1</v>
      </c>
      <c r="K178" s="18">
        <f t="shared" si="6"/>
        <v>104.69999999999999</v>
      </c>
      <c r="L178" s="18">
        <f t="shared" si="7"/>
        <v>10.469999999999999</v>
      </c>
      <c r="M178" s="18">
        <f t="shared" si="8"/>
        <v>94.22999999999999</v>
      </c>
      <c r="N178" s="24" t="e">
        <f>VLOOKUP(Vendas[[#This Row],[Mes2]],Planilha1!$J:$K,2,FALSE)</f>
        <v>#N/A</v>
      </c>
      <c r="O178" s="26" t="s">
        <v>489</v>
      </c>
    </row>
    <row r="179" spans="1:15">
      <c r="A179" s="13" t="s">
        <v>281</v>
      </c>
      <c r="B179" s="14">
        <v>45834</v>
      </c>
      <c r="C179" s="1" t="s">
        <v>97</v>
      </c>
      <c r="D179" s="1" t="s">
        <v>98</v>
      </c>
      <c r="E179" s="1" t="s">
        <v>99</v>
      </c>
      <c r="F179" s="1" t="s">
        <v>100</v>
      </c>
      <c r="G179" s="1" t="s">
        <v>107</v>
      </c>
      <c r="H179" s="15">
        <v>3</v>
      </c>
      <c r="I179" s="16">
        <v>34.9</v>
      </c>
      <c r="J179" s="17">
        <v>0.05</v>
      </c>
      <c r="K179" s="18">
        <f t="shared" si="6"/>
        <v>104.69999999999999</v>
      </c>
      <c r="L179" s="18">
        <f t="shared" si="7"/>
        <v>5.2349999999999994</v>
      </c>
      <c r="M179" s="18">
        <f t="shared" si="8"/>
        <v>99.464999999999989</v>
      </c>
      <c r="N179" s="24" t="e">
        <f>VLOOKUP(Vendas[[#This Row],[Mes2]],Planilha1!$J:$K,2,FALSE)</f>
        <v>#N/A</v>
      </c>
      <c r="O179" s="26" t="s">
        <v>489</v>
      </c>
    </row>
    <row r="180" spans="1:15">
      <c r="A180" s="13" t="s">
        <v>288</v>
      </c>
      <c r="B180" s="14">
        <v>45835</v>
      </c>
      <c r="C180" s="1" t="s">
        <v>121</v>
      </c>
      <c r="D180" s="1" t="s">
        <v>98</v>
      </c>
      <c r="E180" s="1" t="s">
        <v>105</v>
      </c>
      <c r="F180" s="1" t="s">
        <v>106</v>
      </c>
      <c r="G180" s="1" t="s">
        <v>101</v>
      </c>
      <c r="H180" s="15">
        <v>2</v>
      </c>
      <c r="I180" s="16">
        <v>12.9</v>
      </c>
      <c r="J180" s="17">
        <v>0</v>
      </c>
      <c r="K180" s="18">
        <f t="shared" si="6"/>
        <v>25.8</v>
      </c>
      <c r="L180" s="18">
        <f t="shared" si="7"/>
        <v>0</v>
      </c>
      <c r="M180" s="18">
        <f t="shared" si="8"/>
        <v>25.8</v>
      </c>
      <c r="N180" s="24" t="e">
        <f>VLOOKUP(Vendas[[#This Row],[Mes2]],Planilha1!$J:$K,2,FALSE)</f>
        <v>#N/A</v>
      </c>
      <c r="O180" s="26" t="s">
        <v>489</v>
      </c>
    </row>
    <row r="181" spans="1:15">
      <c r="A181" s="13" t="s">
        <v>294</v>
      </c>
      <c r="B181" s="14">
        <v>45836</v>
      </c>
      <c r="C181" s="1" t="s">
        <v>111</v>
      </c>
      <c r="D181" s="1" t="s">
        <v>104</v>
      </c>
      <c r="E181" s="1" t="s">
        <v>105</v>
      </c>
      <c r="F181" s="1" t="s">
        <v>100</v>
      </c>
      <c r="G181" s="1" t="s">
        <v>101</v>
      </c>
      <c r="H181" s="15">
        <v>3</v>
      </c>
      <c r="I181" s="16">
        <v>28.9</v>
      </c>
      <c r="J181" s="17">
        <v>0</v>
      </c>
      <c r="K181" s="18">
        <f t="shared" si="6"/>
        <v>86.699999999999989</v>
      </c>
      <c r="L181" s="18">
        <f t="shared" si="7"/>
        <v>0</v>
      </c>
      <c r="M181" s="18">
        <f t="shared" si="8"/>
        <v>86.699999999999989</v>
      </c>
      <c r="N181" s="24" t="e">
        <f>VLOOKUP(Vendas[[#This Row],[Mes2]],Planilha1!$J:$K,2,FALSE)</f>
        <v>#N/A</v>
      </c>
      <c r="O181" s="26" t="s">
        <v>489</v>
      </c>
    </row>
    <row r="182" spans="1:15">
      <c r="A182" s="13" t="s">
        <v>297</v>
      </c>
      <c r="B182" s="14">
        <v>45837</v>
      </c>
      <c r="C182" s="1" t="s">
        <v>123</v>
      </c>
      <c r="D182" s="1" t="s">
        <v>114</v>
      </c>
      <c r="E182" s="1" t="s">
        <v>99</v>
      </c>
      <c r="F182" s="1" t="s">
        <v>128</v>
      </c>
      <c r="G182" s="1" t="s">
        <v>101</v>
      </c>
      <c r="H182" s="15">
        <v>1</v>
      </c>
      <c r="I182" s="16">
        <v>74.900000000000006</v>
      </c>
      <c r="J182" s="17">
        <v>0.1</v>
      </c>
      <c r="K182" s="18">
        <f t="shared" si="6"/>
        <v>74.900000000000006</v>
      </c>
      <c r="L182" s="18">
        <f t="shared" si="7"/>
        <v>7.4900000000000011</v>
      </c>
      <c r="M182" s="18">
        <f t="shared" si="8"/>
        <v>67.410000000000011</v>
      </c>
      <c r="N182" s="24" t="e">
        <f>VLOOKUP(Vendas[[#This Row],[Mes2]],Planilha1!$J:$K,2,FALSE)</f>
        <v>#N/A</v>
      </c>
      <c r="O182" s="26" t="s">
        <v>489</v>
      </c>
    </row>
    <row r="183" spans="1:15">
      <c r="A183" s="13" t="s">
        <v>291</v>
      </c>
      <c r="B183" s="14">
        <v>45838</v>
      </c>
      <c r="C183" s="1" t="s">
        <v>103</v>
      </c>
      <c r="D183" s="1" t="s">
        <v>104</v>
      </c>
      <c r="E183" s="1" t="s">
        <v>99</v>
      </c>
      <c r="F183" s="1" t="s">
        <v>100</v>
      </c>
      <c r="G183" s="1" t="s">
        <v>107</v>
      </c>
      <c r="H183" s="15">
        <v>2</v>
      </c>
      <c r="I183" s="16">
        <v>39.9</v>
      </c>
      <c r="J183" s="17">
        <v>0.05</v>
      </c>
      <c r="K183" s="18">
        <f t="shared" si="6"/>
        <v>79.8</v>
      </c>
      <c r="L183" s="18">
        <f t="shared" si="7"/>
        <v>3.99</v>
      </c>
      <c r="M183" s="18">
        <f t="shared" si="8"/>
        <v>75.81</v>
      </c>
      <c r="N183" s="24" t="e">
        <f>VLOOKUP(Vendas[[#This Row],[Mes2]],Planilha1!$J:$K,2,FALSE)</f>
        <v>#N/A</v>
      </c>
      <c r="O183" s="26" t="s">
        <v>489</v>
      </c>
    </row>
    <row r="184" spans="1:15">
      <c r="A184" s="13" t="s">
        <v>293</v>
      </c>
      <c r="B184" s="14">
        <v>45838</v>
      </c>
      <c r="C184" s="1" t="s">
        <v>123</v>
      </c>
      <c r="D184" s="1" t="s">
        <v>114</v>
      </c>
      <c r="E184" s="1" t="s">
        <v>99</v>
      </c>
      <c r="F184" s="1" t="s">
        <v>128</v>
      </c>
      <c r="G184" s="1" t="s">
        <v>107</v>
      </c>
      <c r="H184" s="15">
        <v>3</v>
      </c>
      <c r="I184" s="16">
        <v>74.900000000000006</v>
      </c>
      <c r="J184" s="17">
        <v>0.05</v>
      </c>
      <c r="K184" s="18">
        <f t="shared" si="6"/>
        <v>224.70000000000002</v>
      </c>
      <c r="L184" s="18">
        <f t="shared" si="7"/>
        <v>11.235000000000001</v>
      </c>
      <c r="M184" s="18">
        <f t="shared" si="8"/>
        <v>213.465</v>
      </c>
      <c r="N184" s="24" t="e">
        <f>VLOOKUP(Vendas[[#This Row],[Mes2]],Planilha1!$J:$K,2,FALSE)</f>
        <v>#N/A</v>
      </c>
      <c r="O184" s="26" t="s">
        <v>489</v>
      </c>
    </row>
    <row r="185" spans="1:15">
      <c r="A185" s="13" t="s">
        <v>309</v>
      </c>
      <c r="B185" s="14">
        <v>45840</v>
      </c>
      <c r="C185" s="1" t="s">
        <v>113</v>
      </c>
      <c r="D185" s="1" t="s">
        <v>114</v>
      </c>
      <c r="E185" s="1" t="s">
        <v>105</v>
      </c>
      <c r="F185" s="1" t="s">
        <v>100</v>
      </c>
      <c r="G185" s="1" t="s">
        <v>116</v>
      </c>
      <c r="H185" s="15">
        <v>3</v>
      </c>
      <c r="I185" s="16">
        <v>18.899999999999999</v>
      </c>
      <c r="J185" s="17">
        <v>0.1</v>
      </c>
      <c r="K185" s="18">
        <f t="shared" si="6"/>
        <v>56.699999999999996</v>
      </c>
      <c r="L185" s="18">
        <f t="shared" si="7"/>
        <v>5.67</v>
      </c>
      <c r="M185" s="18">
        <f t="shared" si="8"/>
        <v>51.029999999999994</v>
      </c>
      <c r="N185" s="24" t="e">
        <f>VLOOKUP(Vendas[[#This Row],[Mes2]],Planilha1!$J:$K,2,FALSE)</f>
        <v>#N/A</v>
      </c>
      <c r="O185" s="26" t="s">
        <v>490</v>
      </c>
    </row>
    <row r="186" spans="1:15">
      <c r="A186" s="13" t="s">
        <v>311</v>
      </c>
      <c r="B186" s="14">
        <v>45841</v>
      </c>
      <c r="C186" s="1" t="s">
        <v>113</v>
      </c>
      <c r="D186" s="1" t="s">
        <v>114</v>
      </c>
      <c r="E186" s="1" t="s">
        <v>109</v>
      </c>
      <c r="F186" s="1" t="s">
        <v>106</v>
      </c>
      <c r="G186" s="1" t="s">
        <v>101</v>
      </c>
      <c r="H186" s="15">
        <v>3</v>
      </c>
      <c r="I186" s="16">
        <v>18.899999999999999</v>
      </c>
      <c r="J186" s="17">
        <v>0.05</v>
      </c>
      <c r="K186" s="18">
        <f t="shared" si="6"/>
        <v>56.699999999999996</v>
      </c>
      <c r="L186" s="18">
        <f t="shared" si="7"/>
        <v>2.835</v>
      </c>
      <c r="M186" s="18">
        <f t="shared" si="8"/>
        <v>53.864999999999995</v>
      </c>
      <c r="N186" s="24" t="e">
        <f>VLOOKUP(Vendas[[#This Row],[Mes2]],Planilha1!$J:$K,2,FALSE)</f>
        <v>#N/A</v>
      </c>
      <c r="O186" s="26" t="s">
        <v>490</v>
      </c>
    </row>
    <row r="187" spans="1:15">
      <c r="A187" s="13" t="s">
        <v>312</v>
      </c>
      <c r="B187" s="14">
        <v>45841</v>
      </c>
      <c r="C187" s="1" t="s">
        <v>111</v>
      </c>
      <c r="D187" s="1" t="s">
        <v>104</v>
      </c>
      <c r="E187" s="1" t="s">
        <v>115</v>
      </c>
      <c r="F187" s="1" t="s">
        <v>100</v>
      </c>
      <c r="G187" s="1" t="s">
        <v>101</v>
      </c>
      <c r="H187" s="15">
        <v>3</v>
      </c>
      <c r="I187" s="16">
        <v>28.9</v>
      </c>
      <c r="J187" s="17">
        <v>0.05</v>
      </c>
      <c r="K187" s="18">
        <f t="shared" si="6"/>
        <v>86.699999999999989</v>
      </c>
      <c r="L187" s="18">
        <f t="shared" si="7"/>
        <v>4.335</v>
      </c>
      <c r="M187" s="18">
        <f t="shared" si="8"/>
        <v>82.364999999999995</v>
      </c>
      <c r="N187" s="24" t="e">
        <f>VLOOKUP(Vendas[[#This Row],[Mes2]],Planilha1!$J:$K,2,FALSE)</f>
        <v>#N/A</v>
      </c>
      <c r="O187" s="26" t="s">
        <v>490</v>
      </c>
    </row>
    <row r="188" spans="1:15">
      <c r="A188" s="13" t="s">
        <v>313</v>
      </c>
      <c r="B188" s="14">
        <v>45841</v>
      </c>
      <c r="C188" s="1" t="s">
        <v>111</v>
      </c>
      <c r="D188" s="1" t="s">
        <v>104</v>
      </c>
      <c r="E188" s="1" t="s">
        <v>126</v>
      </c>
      <c r="F188" s="1" t="s">
        <v>106</v>
      </c>
      <c r="G188" s="1" t="s">
        <v>107</v>
      </c>
      <c r="H188" s="15">
        <v>2</v>
      </c>
      <c r="I188" s="16">
        <v>28.9</v>
      </c>
      <c r="J188" s="17">
        <v>0.1</v>
      </c>
      <c r="K188" s="18">
        <f t="shared" si="6"/>
        <v>57.8</v>
      </c>
      <c r="L188" s="18">
        <f t="shared" si="7"/>
        <v>5.78</v>
      </c>
      <c r="M188" s="18">
        <f t="shared" si="8"/>
        <v>52.019999999999996</v>
      </c>
      <c r="N188" s="24" t="e">
        <f>VLOOKUP(Vendas[[#This Row],[Mes2]],Planilha1!$J:$K,2,FALSE)</f>
        <v>#N/A</v>
      </c>
      <c r="O188" s="26" t="s">
        <v>490</v>
      </c>
    </row>
    <row r="189" spans="1:15">
      <c r="A189" s="13" t="s">
        <v>319</v>
      </c>
      <c r="B189" s="14">
        <v>45842</v>
      </c>
      <c r="C189" s="1" t="s">
        <v>103</v>
      </c>
      <c r="D189" s="1" t="s">
        <v>104</v>
      </c>
      <c r="E189" s="1" t="s">
        <v>115</v>
      </c>
      <c r="F189" s="1" t="s">
        <v>100</v>
      </c>
      <c r="G189" s="1" t="s">
        <v>107</v>
      </c>
      <c r="H189" s="15">
        <v>3</v>
      </c>
      <c r="I189" s="16">
        <v>39.9</v>
      </c>
      <c r="J189" s="17">
        <v>0.15</v>
      </c>
      <c r="K189" s="18">
        <f t="shared" si="6"/>
        <v>119.69999999999999</v>
      </c>
      <c r="L189" s="18">
        <f t="shared" si="7"/>
        <v>17.954999999999998</v>
      </c>
      <c r="M189" s="18">
        <f t="shared" si="8"/>
        <v>101.74499999999999</v>
      </c>
      <c r="N189" s="24" t="e">
        <f>VLOOKUP(Vendas[[#This Row],[Mes2]],Planilha1!$J:$K,2,FALSE)</f>
        <v>#N/A</v>
      </c>
      <c r="O189" s="26" t="s">
        <v>490</v>
      </c>
    </row>
    <row r="190" spans="1:15">
      <c r="A190" s="13" t="s">
        <v>328</v>
      </c>
      <c r="B190" s="14">
        <v>45843</v>
      </c>
      <c r="C190" s="1" t="s">
        <v>121</v>
      </c>
      <c r="D190" s="1" t="s">
        <v>98</v>
      </c>
      <c r="E190" s="1" t="s">
        <v>109</v>
      </c>
      <c r="F190" s="1" t="s">
        <v>100</v>
      </c>
      <c r="G190" s="1" t="s">
        <v>143</v>
      </c>
      <c r="H190" s="15">
        <v>1</v>
      </c>
      <c r="I190" s="16">
        <v>12.9</v>
      </c>
      <c r="J190" s="17">
        <v>0</v>
      </c>
      <c r="K190" s="18">
        <f t="shared" si="6"/>
        <v>12.9</v>
      </c>
      <c r="L190" s="18">
        <f t="shared" si="7"/>
        <v>0</v>
      </c>
      <c r="M190" s="18">
        <f t="shared" si="8"/>
        <v>12.9</v>
      </c>
      <c r="N190" s="24" t="e">
        <f>VLOOKUP(Vendas[[#This Row],[Mes2]],Planilha1!$J:$K,2,FALSE)</f>
        <v>#N/A</v>
      </c>
      <c r="O190" s="26" t="s">
        <v>490</v>
      </c>
    </row>
    <row r="191" spans="1:15">
      <c r="A191" s="13" t="s">
        <v>307</v>
      </c>
      <c r="B191" s="14">
        <v>45844</v>
      </c>
      <c r="C191" s="1" t="s">
        <v>111</v>
      </c>
      <c r="D191" s="1" t="s">
        <v>104</v>
      </c>
      <c r="E191" s="1" t="s">
        <v>115</v>
      </c>
      <c r="F191" s="1" t="s">
        <v>100</v>
      </c>
      <c r="G191" s="1" t="s">
        <v>116</v>
      </c>
      <c r="H191" s="15">
        <v>1</v>
      </c>
      <c r="I191" s="16">
        <v>28.9</v>
      </c>
      <c r="J191" s="17">
        <v>0</v>
      </c>
      <c r="K191" s="18">
        <f t="shared" si="6"/>
        <v>28.9</v>
      </c>
      <c r="L191" s="18">
        <f t="shared" si="7"/>
        <v>0</v>
      </c>
      <c r="M191" s="18">
        <f t="shared" si="8"/>
        <v>28.9</v>
      </c>
      <c r="N191" s="24" t="e">
        <f>VLOOKUP(Vendas[[#This Row],[Mes2]],Planilha1!$J:$K,2,FALSE)</f>
        <v>#N/A</v>
      </c>
      <c r="O191" s="26" t="s">
        <v>490</v>
      </c>
    </row>
    <row r="192" spans="1:15">
      <c r="A192" s="13" t="s">
        <v>320</v>
      </c>
      <c r="B192" s="14">
        <v>45844</v>
      </c>
      <c r="C192" s="1" t="s">
        <v>123</v>
      </c>
      <c r="D192" s="1" t="s">
        <v>114</v>
      </c>
      <c r="E192" s="1" t="s">
        <v>105</v>
      </c>
      <c r="F192" s="1" t="s">
        <v>128</v>
      </c>
      <c r="G192" s="1" t="s">
        <v>116</v>
      </c>
      <c r="H192" s="15">
        <v>3</v>
      </c>
      <c r="I192" s="16">
        <v>74.900000000000006</v>
      </c>
      <c r="J192" s="17">
        <v>0.15</v>
      </c>
      <c r="K192" s="18">
        <f t="shared" si="6"/>
        <v>224.70000000000002</v>
      </c>
      <c r="L192" s="18">
        <f t="shared" si="7"/>
        <v>33.704999999999998</v>
      </c>
      <c r="M192" s="18">
        <f t="shared" si="8"/>
        <v>190.995</v>
      </c>
      <c r="N192" s="24" t="e">
        <f>VLOOKUP(Vendas[[#This Row],[Mes2]],Planilha1!$J:$K,2,FALSE)</f>
        <v>#N/A</v>
      </c>
      <c r="O192" s="26" t="s">
        <v>490</v>
      </c>
    </row>
    <row r="193" spans="1:15">
      <c r="A193" s="13" t="s">
        <v>317</v>
      </c>
      <c r="B193" s="14">
        <v>45845</v>
      </c>
      <c r="C193" s="1" t="s">
        <v>134</v>
      </c>
      <c r="D193" s="1" t="s">
        <v>104</v>
      </c>
      <c r="E193" s="1" t="s">
        <v>109</v>
      </c>
      <c r="F193" s="1" t="s">
        <v>100</v>
      </c>
      <c r="G193" s="1" t="s">
        <v>101</v>
      </c>
      <c r="H193" s="15">
        <v>1</v>
      </c>
      <c r="I193" s="16">
        <v>79.900000000000006</v>
      </c>
      <c r="J193" s="17">
        <v>0.1</v>
      </c>
      <c r="K193" s="18">
        <f t="shared" si="6"/>
        <v>79.900000000000006</v>
      </c>
      <c r="L193" s="18">
        <f t="shared" si="7"/>
        <v>7.9900000000000011</v>
      </c>
      <c r="M193" s="18">
        <f t="shared" si="8"/>
        <v>71.910000000000011</v>
      </c>
      <c r="N193" s="24" t="e">
        <f>VLOOKUP(Vendas[[#This Row],[Mes2]],Planilha1!$J:$K,2,FALSE)</f>
        <v>#N/A</v>
      </c>
      <c r="O193" s="26" t="s">
        <v>490</v>
      </c>
    </row>
    <row r="194" spans="1:15">
      <c r="A194" s="13" t="s">
        <v>315</v>
      </c>
      <c r="B194" s="14">
        <v>45847</v>
      </c>
      <c r="C194" s="1" t="s">
        <v>97</v>
      </c>
      <c r="D194" s="1" t="s">
        <v>98</v>
      </c>
      <c r="E194" s="1" t="s">
        <v>109</v>
      </c>
      <c r="F194" s="1" t="s">
        <v>106</v>
      </c>
      <c r="G194" s="1" t="s">
        <v>143</v>
      </c>
      <c r="H194" s="15">
        <v>2</v>
      </c>
      <c r="I194" s="16">
        <v>34.9</v>
      </c>
      <c r="J194" s="17">
        <v>0.05</v>
      </c>
      <c r="K194" s="18">
        <f t="shared" si="6"/>
        <v>69.8</v>
      </c>
      <c r="L194" s="18">
        <f t="shared" si="7"/>
        <v>3.49</v>
      </c>
      <c r="M194" s="18">
        <f t="shared" si="8"/>
        <v>66.31</v>
      </c>
      <c r="N194" s="24" t="e">
        <f>VLOOKUP(Vendas[[#This Row],[Mes2]],Planilha1!$J:$K,2,FALSE)</f>
        <v>#N/A</v>
      </c>
      <c r="O194" s="26" t="s">
        <v>490</v>
      </c>
    </row>
    <row r="195" spans="1:15">
      <c r="A195" s="13" t="s">
        <v>305</v>
      </c>
      <c r="B195" s="14">
        <v>45850</v>
      </c>
      <c r="C195" s="1" t="s">
        <v>118</v>
      </c>
      <c r="D195" s="1" t="s">
        <v>98</v>
      </c>
      <c r="E195" s="1" t="s">
        <v>109</v>
      </c>
      <c r="F195" s="1" t="s">
        <v>128</v>
      </c>
      <c r="G195" s="1" t="s">
        <v>101</v>
      </c>
      <c r="H195" s="15">
        <v>2</v>
      </c>
      <c r="I195" s="16">
        <v>89.9</v>
      </c>
      <c r="J195" s="17">
        <v>0.1</v>
      </c>
      <c r="K195" s="18">
        <f t="shared" si="6"/>
        <v>179.8</v>
      </c>
      <c r="L195" s="18">
        <f t="shared" si="7"/>
        <v>17.98</v>
      </c>
      <c r="M195" s="18">
        <f t="shared" si="8"/>
        <v>161.82000000000002</v>
      </c>
      <c r="N195" s="24" t="e">
        <f>VLOOKUP(Vendas[[#This Row],[Mes2]],Planilha1!$J:$K,2,FALSE)</f>
        <v>#N/A</v>
      </c>
      <c r="O195" s="26" t="s">
        <v>490</v>
      </c>
    </row>
    <row r="196" spans="1:15">
      <c r="A196" s="13" t="s">
        <v>322</v>
      </c>
      <c r="B196" s="14">
        <v>45850</v>
      </c>
      <c r="C196" s="1" t="s">
        <v>121</v>
      </c>
      <c r="D196" s="1" t="s">
        <v>98</v>
      </c>
      <c r="E196" s="1" t="s">
        <v>99</v>
      </c>
      <c r="F196" s="1" t="s">
        <v>106</v>
      </c>
      <c r="G196" s="1" t="s">
        <v>101</v>
      </c>
      <c r="H196" s="15">
        <v>1</v>
      </c>
      <c r="I196" s="16">
        <v>12.9</v>
      </c>
      <c r="J196" s="17">
        <v>0</v>
      </c>
      <c r="K196" s="18">
        <f t="shared" si="6"/>
        <v>12.9</v>
      </c>
      <c r="L196" s="18">
        <f t="shared" si="7"/>
        <v>0</v>
      </c>
      <c r="M196" s="18">
        <f t="shared" si="8"/>
        <v>12.9</v>
      </c>
      <c r="N196" s="24" t="e">
        <f>VLOOKUP(Vendas[[#This Row],[Mes2]],Planilha1!$J:$K,2,FALSE)</f>
        <v>#N/A</v>
      </c>
      <c r="O196" s="26" t="s">
        <v>490</v>
      </c>
    </row>
    <row r="197" spans="1:15">
      <c r="A197" s="13" t="s">
        <v>300</v>
      </c>
      <c r="B197" s="14">
        <v>45852</v>
      </c>
      <c r="C197" s="1" t="s">
        <v>113</v>
      </c>
      <c r="D197" s="1" t="s">
        <v>114</v>
      </c>
      <c r="E197" s="1" t="s">
        <v>99</v>
      </c>
      <c r="F197" s="1" t="s">
        <v>100</v>
      </c>
      <c r="G197" s="1" t="s">
        <v>107</v>
      </c>
      <c r="H197" s="15">
        <v>1</v>
      </c>
      <c r="I197" s="16">
        <v>18.899999999999999</v>
      </c>
      <c r="J197" s="17">
        <v>0</v>
      </c>
      <c r="K197" s="18">
        <f t="shared" ref="K197:K260" si="9">H197*I197</f>
        <v>18.899999999999999</v>
      </c>
      <c r="L197" s="18">
        <f t="shared" ref="L197:L260" si="10">K197*J197</f>
        <v>0</v>
      </c>
      <c r="M197" s="18">
        <f t="shared" ref="M197:M260" si="11">K197-L197</f>
        <v>18.899999999999999</v>
      </c>
      <c r="N197" s="24" t="e">
        <f>VLOOKUP(Vendas[[#This Row],[Mes2]],Planilha1!$J:$K,2,FALSE)</f>
        <v>#N/A</v>
      </c>
      <c r="O197" s="26" t="s">
        <v>490</v>
      </c>
    </row>
    <row r="198" spans="1:15">
      <c r="A198" s="13" t="s">
        <v>308</v>
      </c>
      <c r="B198" s="14">
        <v>45852</v>
      </c>
      <c r="C198" s="1" t="s">
        <v>113</v>
      </c>
      <c r="D198" s="1" t="s">
        <v>114</v>
      </c>
      <c r="E198" s="1" t="s">
        <v>99</v>
      </c>
      <c r="F198" s="1" t="s">
        <v>100</v>
      </c>
      <c r="G198" s="1" t="s">
        <v>101</v>
      </c>
      <c r="H198" s="15">
        <v>2</v>
      </c>
      <c r="I198" s="16">
        <v>18.899999999999999</v>
      </c>
      <c r="J198" s="17">
        <v>0.05</v>
      </c>
      <c r="K198" s="18">
        <f t="shared" si="9"/>
        <v>37.799999999999997</v>
      </c>
      <c r="L198" s="18">
        <f t="shared" si="10"/>
        <v>1.89</v>
      </c>
      <c r="M198" s="18">
        <f t="shared" si="11"/>
        <v>35.909999999999997</v>
      </c>
      <c r="N198" s="24" t="e">
        <f>VLOOKUP(Vendas[[#This Row],[Mes2]],Planilha1!$J:$K,2,FALSE)</f>
        <v>#N/A</v>
      </c>
      <c r="O198" s="26" t="s">
        <v>490</v>
      </c>
    </row>
    <row r="199" spans="1:15">
      <c r="A199" s="13" t="s">
        <v>306</v>
      </c>
      <c r="B199" s="14">
        <v>45854</v>
      </c>
      <c r="C199" s="1" t="s">
        <v>111</v>
      </c>
      <c r="D199" s="1" t="s">
        <v>104</v>
      </c>
      <c r="E199" s="1" t="s">
        <v>115</v>
      </c>
      <c r="F199" s="1" t="s">
        <v>106</v>
      </c>
      <c r="G199" s="1" t="s">
        <v>107</v>
      </c>
      <c r="H199" s="15">
        <v>1</v>
      </c>
      <c r="I199" s="16">
        <v>28.9</v>
      </c>
      <c r="J199" s="17">
        <v>0.1</v>
      </c>
      <c r="K199" s="18">
        <f t="shared" si="9"/>
        <v>28.9</v>
      </c>
      <c r="L199" s="18">
        <f t="shared" si="10"/>
        <v>2.89</v>
      </c>
      <c r="M199" s="18">
        <f t="shared" si="11"/>
        <v>26.009999999999998</v>
      </c>
      <c r="N199" s="24" t="e">
        <f>VLOOKUP(Vendas[[#This Row],[Mes2]],Planilha1!$J:$K,2,FALSE)</f>
        <v>#N/A</v>
      </c>
      <c r="O199" s="26" t="s">
        <v>490</v>
      </c>
    </row>
    <row r="200" spans="1:15">
      <c r="A200" s="13" t="s">
        <v>316</v>
      </c>
      <c r="B200" s="14">
        <v>45855</v>
      </c>
      <c r="C200" s="1" t="s">
        <v>113</v>
      </c>
      <c r="D200" s="1" t="s">
        <v>114</v>
      </c>
      <c r="E200" s="1" t="s">
        <v>115</v>
      </c>
      <c r="F200" s="1" t="s">
        <v>100</v>
      </c>
      <c r="G200" s="1" t="s">
        <v>107</v>
      </c>
      <c r="H200" s="15">
        <v>2</v>
      </c>
      <c r="I200" s="16">
        <v>18.899999999999999</v>
      </c>
      <c r="J200" s="17">
        <v>0.1</v>
      </c>
      <c r="K200" s="18">
        <f t="shared" si="9"/>
        <v>37.799999999999997</v>
      </c>
      <c r="L200" s="18">
        <f t="shared" si="10"/>
        <v>3.78</v>
      </c>
      <c r="M200" s="18">
        <f t="shared" si="11"/>
        <v>34.019999999999996</v>
      </c>
      <c r="N200" s="24" t="e">
        <f>VLOOKUP(Vendas[[#This Row],[Mes2]],Planilha1!$J:$K,2,FALSE)</f>
        <v>#N/A</v>
      </c>
      <c r="O200" s="26" t="s">
        <v>490</v>
      </c>
    </row>
    <row r="201" spans="1:15">
      <c r="A201" s="13" t="s">
        <v>303</v>
      </c>
      <c r="B201" s="14">
        <v>45857</v>
      </c>
      <c r="C201" s="1" t="s">
        <v>103</v>
      </c>
      <c r="D201" s="1" t="s">
        <v>104</v>
      </c>
      <c r="E201" s="1" t="s">
        <v>109</v>
      </c>
      <c r="F201" s="1" t="s">
        <v>128</v>
      </c>
      <c r="G201" s="1" t="s">
        <v>107</v>
      </c>
      <c r="H201" s="15">
        <v>2</v>
      </c>
      <c r="I201" s="16">
        <v>39.9</v>
      </c>
      <c r="J201" s="17">
        <v>0.1</v>
      </c>
      <c r="K201" s="18">
        <f t="shared" si="9"/>
        <v>79.8</v>
      </c>
      <c r="L201" s="18">
        <f t="shared" si="10"/>
        <v>7.98</v>
      </c>
      <c r="M201" s="18">
        <f t="shared" si="11"/>
        <v>71.819999999999993</v>
      </c>
      <c r="N201" s="24" t="e">
        <f>VLOOKUP(Vendas[[#This Row],[Mes2]],Planilha1!$J:$K,2,FALSE)</f>
        <v>#N/A</v>
      </c>
      <c r="O201" s="26" t="s">
        <v>490</v>
      </c>
    </row>
    <row r="202" spans="1:15">
      <c r="A202" s="13" t="s">
        <v>314</v>
      </c>
      <c r="B202" s="14">
        <v>45857</v>
      </c>
      <c r="C202" s="1" t="s">
        <v>103</v>
      </c>
      <c r="D202" s="1" t="s">
        <v>104</v>
      </c>
      <c r="E202" s="1" t="s">
        <v>99</v>
      </c>
      <c r="F202" s="1" t="s">
        <v>128</v>
      </c>
      <c r="G202" s="1" t="s">
        <v>101</v>
      </c>
      <c r="H202" s="15">
        <v>2</v>
      </c>
      <c r="I202" s="16">
        <v>39.9</v>
      </c>
      <c r="J202" s="17">
        <v>0.1</v>
      </c>
      <c r="K202" s="18">
        <f t="shared" si="9"/>
        <v>79.8</v>
      </c>
      <c r="L202" s="18">
        <f t="shared" si="10"/>
        <v>7.98</v>
      </c>
      <c r="M202" s="18">
        <f t="shared" si="11"/>
        <v>71.819999999999993</v>
      </c>
      <c r="N202" s="24" t="e">
        <f>VLOOKUP(Vendas[[#This Row],[Mes2]],Planilha1!$J:$K,2,FALSE)</f>
        <v>#N/A</v>
      </c>
      <c r="O202" s="26" t="s">
        <v>490</v>
      </c>
    </row>
    <row r="203" spans="1:15">
      <c r="A203" s="13" t="s">
        <v>318</v>
      </c>
      <c r="B203" s="14">
        <v>45858</v>
      </c>
      <c r="C203" s="1" t="s">
        <v>113</v>
      </c>
      <c r="D203" s="1" t="s">
        <v>114</v>
      </c>
      <c r="E203" s="1" t="s">
        <v>105</v>
      </c>
      <c r="F203" s="1" t="s">
        <v>128</v>
      </c>
      <c r="G203" s="1" t="s">
        <v>116</v>
      </c>
      <c r="H203" s="15">
        <v>1</v>
      </c>
      <c r="I203" s="16">
        <v>18.899999999999999</v>
      </c>
      <c r="J203" s="17">
        <v>0</v>
      </c>
      <c r="K203" s="18">
        <f t="shared" si="9"/>
        <v>18.899999999999999</v>
      </c>
      <c r="L203" s="18">
        <f t="shared" si="10"/>
        <v>0</v>
      </c>
      <c r="M203" s="18">
        <f t="shared" si="11"/>
        <v>18.899999999999999</v>
      </c>
      <c r="N203" s="24" t="e">
        <f>VLOOKUP(Vendas[[#This Row],[Mes2]],Planilha1!$J:$K,2,FALSE)</f>
        <v>#N/A</v>
      </c>
      <c r="O203" s="26" t="s">
        <v>490</v>
      </c>
    </row>
    <row r="204" spans="1:15">
      <c r="A204" s="13" t="s">
        <v>323</v>
      </c>
      <c r="B204" s="14">
        <v>45860</v>
      </c>
      <c r="C204" s="1" t="s">
        <v>111</v>
      </c>
      <c r="D204" s="1" t="s">
        <v>104</v>
      </c>
      <c r="E204" s="1" t="s">
        <v>99</v>
      </c>
      <c r="F204" s="1" t="s">
        <v>100</v>
      </c>
      <c r="G204" s="1" t="s">
        <v>107</v>
      </c>
      <c r="H204" s="15">
        <v>1</v>
      </c>
      <c r="I204" s="16">
        <v>28.9</v>
      </c>
      <c r="J204" s="17">
        <v>0</v>
      </c>
      <c r="K204" s="18">
        <f t="shared" si="9"/>
        <v>28.9</v>
      </c>
      <c r="L204" s="18">
        <f t="shared" si="10"/>
        <v>0</v>
      </c>
      <c r="M204" s="18">
        <f t="shared" si="11"/>
        <v>28.9</v>
      </c>
      <c r="N204" s="24" t="e">
        <f>VLOOKUP(Vendas[[#This Row],[Mes2]],Planilha1!$J:$K,2,FALSE)</f>
        <v>#N/A</v>
      </c>
      <c r="O204" s="26" t="s">
        <v>490</v>
      </c>
    </row>
    <row r="205" spans="1:15">
      <c r="A205" s="13" t="s">
        <v>304</v>
      </c>
      <c r="B205" s="14">
        <v>45861</v>
      </c>
      <c r="C205" s="1" t="s">
        <v>103</v>
      </c>
      <c r="D205" s="1" t="s">
        <v>104</v>
      </c>
      <c r="E205" s="1" t="s">
        <v>115</v>
      </c>
      <c r="F205" s="1" t="s">
        <v>100</v>
      </c>
      <c r="G205" s="1" t="s">
        <v>116</v>
      </c>
      <c r="H205" s="15">
        <v>2</v>
      </c>
      <c r="I205" s="16">
        <v>39.9</v>
      </c>
      <c r="J205" s="17">
        <v>0.1</v>
      </c>
      <c r="K205" s="18">
        <f t="shared" si="9"/>
        <v>79.8</v>
      </c>
      <c r="L205" s="18">
        <f t="shared" si="10"/>
        <v>7.98</v>
      </c>
      <c r="M205" s="18">
        <f t="shared" si="11"/>
        <v>71.819999999999993</v>
      </c>
      <c r="N205" s="24" t="e">
        <f>VLOOKUP(Vendas[[#This Row],[Mes2]],Planilha1!$J:$K,2,FALSE)</f>
        <v>#N/A</v>
      </c>
      <c r="O205" s="26" t="s">
        <v>490</v>
      </c>
    </row>
    <row r="206" spans="1:15">
      <c r="A206" s="13" t="s">
        <v>325</v>
      </c>
      <c r="B206" s="14">
        <v>45861</v>
      </c>
      <c r="C206" s="1" t="s">
        <v>134</v>
      </c>
      <c r="D206" s="1" t="s">
        <v>104</v>
      </c>
      <c r="E206" s="1" t="s">
        <v>115</v>
      </c>
      <c r="F206" s="1" t="s">
        <v>100</v>
      </c>
      <c r="G206" s="1" t="s">
        <v>101</v>
      </c>
      <c r="H206" s="15">
        <v>1</v>
      </c>
      <c r="I206" s="16">
        <v>79.900000000000006</v>
      </c>
      <c r="J206" s="17">
        <v>0.05</v>
      </c>
      <c r="K206" s="18">
        <f t="shared" si="9"/>
        <v>79.900000000000006</v>
      </c>
      <c r="L206" s="18">
        <f t="shared" si="10"/>
        <v>3.9950000000000006</v>
      </c>
      <c r="M206" s="18">
        <f t="shared" si="11"/>
        <v>75.905000000000001</v>
      </c>
      <c r="N206" s="24" t="e">
        <f>VLOOKUP(Vendas[[#This Row],[Mes2]],Planilha1!$J:$K,2,FALSE)</f>
        <v>#N/A</v>
      </c>
      <c r="O206" s="26" t="s">
        <v>490</v>
      </c>
    </row>
    <row r="207" spans="1:15">
      <c r="A207" s="13" t="s">
        <v>302</v>
      </c>
      <c r="B207" s="14">
        <v>45863</v>
      </c>
      <c r="C207" s="1" t="s">
        <v>121</v>
      </c>
      <c r="D207" s="1" t="s">
        <v>98</v>
      </c>
      <c r="E207" s="1" t="s">
        <v>105</v>
      </c>
      <c r="F207" s="1" t="s">
        <v>100</v>
      </c>
      <c r="G207" s="1" t="s">
        <v>101</v>
      </c>
      <c r="H207" s="15">
        <v>3</v>
      </c>
      <c r="I207" s="16">
        <v>12.9</v>
      </c>
      <c r="J207" s="17">
        <v>0.1</v>
      </c>
      <c r="K207" s="18">
        <f t="shared" si="9"/>
        <v>38.700000000000003</v>
      </c>
      <c r="L207" s="18">
        <f t="shared" si="10"/>
        <v>3.8700000000000006</v>
      </c>
      <c r="M207" s="18">
        <f t="shared" si="11"/>
        <v>34.830000000000005</v>
      </c>
      <c r="N207" s="24" t="e">
        <f>VLOOKUP(Vendas[[#This Row],[Mes2]],Planilha1!$J:$K,2,FALSE)</f>
        <v>#N/A</v>
      </c>
      <c r="O207" s="26" t="s">
        <v>490</v>
      </c>
    </row>
    <row r="208" spans="1:15">
      <c r="A208" s="13" t="s">
        <v>299</v>
      </c>
      <c r="B208" s="14">
        <v>45864</v>
      </c>
      <c r="C208" s="1" t="s">
        <v>103</v>
      </c>
      <c r="D208" s="1" t="s">
        <v>104</v>
      </c>
      <c r="E208" s="1" t="s">
        <v>99</v>
      </c>
      <c r="F208" s="1" t="s">
        <v>106</v>
      </c>
      <c r="G208" s="1" t="s">
        <v>107</v>
      </c>
      <c r="H208" s="15">
        <v>2</v>
      </c>
      <c r="I208" s="16">
        <v>39.9</v>
      </c>
      <c r="J208" s="17">
        <v>0.1</v>
      </c>
      <c r="K208" s="18">
        <f t="shared" si="9"/>
        <v>79.8</v>
      </c>
      <c r="L208" s="18">
        <f t="shared" si="10"/>
        <v>7.98</v>
      </c>
      <c r="M208" s="18">
        <f t="shared" si="11"/>
        <v>71.819999999999993</v>
      </c>
      <c r="N208" s="24" t="e">
        <f>VLOOKUP(Vendas[[#This Row],[Mes2]],Planilha1!$J:$K,2,FALSE)</f>
        <v>#N/A</v>
      </c>
      <c r="O208" s="26" t="s">
        <v>490</v>
      </c>
    </row>
    <row r="209" spans="1:15">
      <c r="A209" s="13" t="s">
        <v>324</v>
      </c>
      <c r="B209" s="14">
        <v>45864</v>
      </c>
      <c r="C209" s="1" t="s">
        <v>123</v>
      </c>
      <c r="D209" s="1" t="s">
        <v>114</v>
      </c>
      <c r="E209" s="1" t="s">
        <v>99</v>
      </c>
      <c r="F209" s="1" t="s">
        <v>106</v>
      </c>
      <c r="G209" s="1" t="s">
        <v>107</v>
      </c>
      <c r="H209" s="15">
        <v>2</v>
      </c>
      <c r="I209" s="16">
        <v>74.900000000000006</v>
      </c>
      <c r="J209" s="17">
        <v>0.15</v>
      </c>
      <c r="K209" s="18">
        <f t="shared" si="9"/>
        <v>149.80000000000001</v>
      </c>
      <c r="L209" s="18">
        <f t="shared" si="10"/>
        <v>22.470000000000002</v>
      </c>
      <c r="M209" s="18">
        <f t="shared" si="11"/>
        <v>127.33000000000001</v>
      </c>
      <c r="N209" s="24" t="e">
        <f>VLOOKUP(Vendas[[#This Row],[Mes2]],Planilha1!$J:$K,2,FALSE)</f>
        <v>#N/A</v>
      </c>
      <c r="O209" s="26" t="s">
        <v>490</v>
      </c>
    </row>
    <row r="210" spans="1:15">
      <c r="A210" s="13" t="s">
        <v>321</v>
      </c>
      <c r="B210" s="14">
        <v>45865</v>
      </c>
      <c r="C210" s="1" t="s">
        <v>118</v>
      </c>
      <c r="D210" s="1" t="s">
        <v>98</v>
      </c>
      <c r="E210" s="1" t="s">
        <v>99</v>
      </c>
      <c r="F210" s="1" t="s">
        <v>128</v>
      </c>
      <c r="G210" s="1" t="s">
        <v>116</v>
      </c>
      <c r="H210" s="15">
        <v>2</v>
      </c>
      <c r="I210" s="16">
        <v>89.9</v>
      </c>
      <c r="J210" s="17">
        <v>0.05</v>
      </c>
      <c r="K210" s="18">
        <f t="shared" si="9"/>
        <v>179.8</v>
      </c>
      <c r="L210" s="18">
        <f t="shared" si="10"/>
        <v>8.99</v>
      </c>
      <c r="M210" s="18">
        <f t="shared" si="11"/>
        <v>170.81</v>
      </c>
      <c r="N210" s="24" t="e">
        <f>VLOOKUP(Vendas[[#This Row],[Mes2]],Planilha1!$J:$K,2,FALSE)</f>
        <v>#N/A</v>
      </c>
      <c r="O210" s="26" t="s">
        <v>490</v>
      </c>
    </row>
    <row r="211" spans="1:15">
      <c r="A211" s="13" t="s">
        <v>326</v>
      </c>
      <c r="B211" s="14">
        <v>45865</v>
      </c>
      <c r="C211" s="1" t="s">
        <v>118</v>
      </c>
      <c r="D211" s="1" t="s">
        <v>98</v>
      </c>
      <c r="E211" s="1" t="s">
        <v>99</v>
      </c>
      <c r="F211" s="1" t="s">
        <v>106</v>
      </c>
      <c r="G211" s="1" t="s">
        <v>107</v>
      </c>
      <c r="H211" s="15">
        <v>1</v>
      </c>
      <c r="I211" s="16">
        <v>89.9</v>
      </c>
      <c r="J211" s="17">
        <v>0</v>
      </c>
      <c r="K211" s="18">
        <f t="shared" si="9"/>
        <v>89.9</v>
      </c>
      <c r="L211" s="18">
        <f t="shared" si="10"/>
        <v>0</v>
      </c>
      <c r="M211" s="18">
        <f t="shared" si="11"/>
        <v>89.9</v>
      </c>
      <c r="N211" s="24" t="e">
        <f>VLOOKUP(Vendas[[#This Row],[Mes2]],Planilha1!$J:$K,2,FALSE)</f>
        <v>#N/A</v>
      </c>
      <c r="O211" s="26" t="s">
        <v>490</v>
      </c>
    </row>
    <row r="212" spans="1:15">
      <c r="A212" s="13" t="s">
        <v>327</v>
      </c>
      <c r="B212" s="14">
        <v>45865</v>
      </c>
      <c r="C212" s="1" t="s">
        <v>113</v>
      </c>
      <c r="D212" s="1" t="s">
        <v>114</v>
      </c>
      <c r="E212" s="1" t="s">
        <v>109</v>
      </c>
      <c r="F212" s="1" t="s">
        <v>100</v>
      </c>
      <c r="G212" s="1" t="s">
        <v>143</v>
      </c>
      <c r="H212" s="15">
        <v>3</v>
      </c>
      <c r="I212" s="16">
        <v>18.899999999999999</v>
      </c>
      <c r="J212" s="17">
        <v>0</v>
      </c>
      <c r="K212" s="18">
        <f t="shared" si="9"/>
        <v>56.699999999999996</v>
      </c>
      <c r="L212" s="18">
        <f t="shared" si="10"/>
        <v>0</v>
      </c>
      <c r="M212" s="18">
        <f t="shared" si="11"/>
        <v>56.699999999999996</v>
      </c>
      <c r="N212" s="24" t="e">
        <f>VLOOKUP(Vendas[[#This Row],[Mes2]],Planilha1!$J:$K,2,FALSE)</f>
        <v>#N/A</v>
      </c>
      <c r="O212" s="26" t="s">
        <v>490</v>
      </c>
    </row>
    <row r="213" spans="1:15">
      <c r="A213" s="13" t="s">
        <v>301</v>
      </c>
      <c r="B213" s="14">
        <v>45866</v>
      </c>
      <c r="C213" s="1" t="s">
        <v>111</v>
      </c>
      <c r="D213" s="1" t="s">
        <v>104</v>
      </c>
      <c r="E213" s="1" t="s">
        <v>126</v>
      </c>
      <c r="F213" s="1" t="s">
        <v>128</v>
      </c>
      <c r="G213" s="1" t="s">
        <v>107</v>
      </c>
      <c r="H213" s="15">
        <v>1</v>
      </c>
      <c r="I213" s="16">
        <v>28.9</v>
      </c>
      <c r="J213" s="17">
        <v>0</v>
      </c>
      <c r="K213" s="18">
        <f t="shared" si="9"/>
        <v>28.9</v>
      </c>
      <c r="L213" s="18">
        <f t="shared" si="10"/>
        <v>0</v>
      </c>
      <c r="M213" s="18">
        <f t="shared" si="11"/>
        <v>28.9</v>
      </c>
      <c r="N213" s="24" t="e">
        <f>VLOOKUP(Vendas[[#This Row],[Mes2]],Planilha1!$J:$K,2,FALSE)</f>
        <v>#N/A</v>
      </c>
      <c r="O213" s="26" t="s">
        <v>490</v>
      </c>
    </row>
    <row r="214" spans="1:15">
      <c r="A214" s="13" t="s">
        <v>310</v>
      </c>
      <c r="B214" s="14">
        <v>45867</v>
      </c>
      <c r="C214" s="1" t="s">
        <v>123</v>
      </c>
      <c r="D214" s="1" t="s">
        <v>114</v>
      </c>
      <c r="E214" s="1" t="s">
        <v>115</v>
      </c>
      <c r="F214" s="1" t="s">
        <v>106</v>
      </c>
      <c r="G214" s="1" t="s">
        <v>101</v>
      </c>
      <c r="H214" s="15">
        <v>1</v>
      </c>
      <c r="I214" s="16">
        <v>74.900000000000006</v>
      </c>
      <c r="J214" s="17">
        <v>0.15</v>
      </c>
      <c r="K214" s="18">
        <f t="shared" si="9"/>
        <v>74.900000000000006</v>
      </c>
      <c r="L214" s="18">
        <f t="shared" si="10"/>
        <v>11.235000000000001</v>
      </c>
      <c r="M214" s="18">
        <f t="shared" si="11"/>
        <v>63.665000000000006</v>
      </c>
      <c r="N214" s="24" t="e">
        <f>VLOOKUP(Vendas[[#This Row],[Mes2]],Planilha1!$J:$K,2,FALSE)</f>
        <v>#N/A</v>
      </c>
      <c r="O214" s="26" t="s">
        <v>490</v>
      </c>
    </row>
    <row r="215" spans="1:15">
      <c r="A215" s="13" t="s">
        <v>339</v>
      </c>
      <c r="B215" s="14">
        <v>45870</v>
      </c>
      <c r="C215" s="1" t="s">
        <v>97</v>
      </c>
      <c r="D215" s="1" t="s">
        <v>98</v>
      </c>
      <c r="E215" s="1" t="s">
        <v>115</v>
      </c>
      <c r="F215" s="1" t="s">
        <v>100</v>
      </c>
      <c r="G215" s="1" t="s">
        <v>101</v>
      </c>
      <c r="H215" s="15">
        <v>1</v>
      </c>
      <c r="I215" s="16">
        <v>34.9</v>
      </c>
      <c r="J215" s="17">
        <v>0.05</v>
      </c>
      <c r="K215" s="18">
        <f t="shared" si="9"/>
        <v>34.9</v>
      </c>
      <c r="L215" s="18">
        <f t="shared" si="10"/>
        <v>1.7450000000000001</v>
      </c>
      <c r="M215" s="18">
        <f t="shared" si="11"/>
        <v>33.155000000000001</v>
      </c>
      <c r="N215" s="24" t="e">
        <f>VLOOKUP(Vendas[[#This Row],[Mes2]],Planilha1!$J:$K,2,FALSE)</f>
        <v>#N/A</v>
      </c>
      <c r="O215" s="26" t="s">
        <v>491</v>
      </c>
    </row>
    <row r="216" spans="1:15">
      <c r="A216" s="13" t="s">
        <v>341</v>
      </c>
      <c r="B216" s="14">
        <v>45870</v>
      </c>
      <c r="C216" s="1" t="s">
        <v>111</v>
      </c>
      <c r="D216" s="1" t="s">
        <v>104</v>
      </c>
      <c r="E216" s="1" t="s">
        <v>109</v>
      </c>
      <c r="F216" s="1" t="s">
        <v>106</v>
      </c>
      <c r="G216" s="1" t="s">
        <v>101</v>
      </c>
      <c r="H216" s="15">
        <v>3</v>
      </c>
      <c r="I216" s="16">
        <v>28.9</v>
      </c>
      <c r="J216" s="17">
        <v>0.1</v>
      </c>
      <c r="K216" s="18">
        <f t="shared" si="9"/>
        <v>86.699999999999989</v>
      </c>
      <c r="L216" s="18">
        <f t="shared" si="10"/>
        <v>8.67</v>
      </c>
      <c r="M216" s="18">
        <f t="shared" si="11"/>
        <v>78.029999999999987</v>
      </c>
      <c r="N216" s="24" t="e">
        <f>VLOOKUP(Vendas[[#This Row],[Mes2]],Planilha1!$J:$K,2,FALSE)</f>
        <v>#N/A</v>
      </c>
      <c r="O216" s="26" t="s">
        <v>491</v>
      </c>
    </row>
    <row r="217" spans="1:15">
      <c r="A217" s="13" t="s">
        <v>345</v>
      </c>
      <c r="B217" s="14">
        <v>45871</v>
      </c>
      <c r="C217" s="1" t="s">
        <v>113</v>
      </c>
      <c r="D217" s="1" t="s">
        <v>114</v>
      </c>
      <c r="E217" s="1" t="s">
        <v>109</v>
      </c>
      <c r="F217" s="1" t="s">
        <v>100</v>
      </c>
      <c r="G217" s="1" t="s">
        <v>107</v>
      </c>
      <c r="H217" s="15">
        <v>2</v>
      </c>
      <c r="I217" s="16">
        <v>18.899999999999999</v>
      </c>
      <c r="J217" s="17">
        <v>0.05</v>
      </c>
      <c r="K217" s="18">
        <f t="shared" si="9"/>
        <v>37.799999999999997</v>
      </c>
      <c r="L217" s="18">
        <f t="shared" si="10"/>
        <v>1.89</v>
      </c>
      <c r="M217" s="18">
        <f t="shared" si="11"/>
        <v>35.909999999999997</v>
      </c>
      <c r="N217" s="24" t="e">
        <f>VLOOKUP(Vendas[[#This Row],[Mes2]],Planilha1!$J:$K,2,FALSE)</f>
        <v>#N/A</v>
      </c>
      <c r="O217" s="26" t="s">
        <v>491</v>
      </c>
    </row>
    <row r="218" spans="1:15">
      <c r="A218" s="13" t="s">
        <v>356</v>
      </c>
      <c r="B218" s="14">
        <v>45871</v>
      </c>
      <c r="C218" s="1" t="s">
        <v>103</v>
      </c>
      <c r="D218" s="1" t="s">
        <v>104</v>
      </c>
      <c r="E218" s="1" t="s">
        <v>105</v>
      </c>
      <c r="F218" s="1" t="s">
        <v>106</v>
      </c>
      <c r="G218" s="1" t="s">
        <v>101</v>
      </c>
      <c r="H218" s="15">
        <v>3</v>
      </c>
      <c r="I218" s="16">
        <v>39.9</v>
      </c>
      <c r="J218" s="17">
        <v>0</v>
      </c>
      <c r="K218" s="18">
        <f t="shared" si="9"/>
        <v>119.69999999999999</v>
      </c>
      <c r="L218" s="18">
        <f t="shared" si="10"/>
        <v>0</v>
      </c>
      <c r="M218" s="18">
        <f t="shared" si="11"/>
        <v>119.69999999999999</v>
      </c>
      <c r="N218" s="24" t="e">
        <f>VLOOKUP(Vendas[[#This Row],[Mes2]],Planilha1!$J:$K,2,FALSE)</f>
        <v>#N/A</v>
      </c>
      <c r="O218" s="26" t="s">
        <v>491</v>
      </c>
    </row>
    <row r="219" spans="1:15">
      <c r="A219" s="13" t="s">
        <v>338</v>
      </c>
      <c r="B219" s="14">
        <v>45873</v>
      </c>
      <c r="C219" s="1" t="s">
        <v>111</v>
      </c>
      <c r="D219" s="1" t="s">
        <v>104</v>
      </c>
      <c r="E219" s="1" t="s">
        <v>105</v>
      </c>
      <c r="F219" s="1" t="s">
        <v>100</v>
      </c>
      <c r="G219" s="1" t="s">
        <v>107</v>
      </c>
      <c r="H219" s="15">
        <v>3</v>
      </c>
      <c r="I219" s="16">
        <v>28.9</v>
      </c>
      <c r="J219" s="17">
        <v>0</v>
      </c>
      <c r="K219" s="18">
        <f t="shared" si="9"/>
        <v>86.699999999999989</v>
      </c>
      <c r="L219" s="18">
        <f t="shared" si="10"/>
        <v>0</v>
      </c>
      <c r="M219" s="18">
        <f t="shared" si="11"/>
        <v>86.699999999999989</v>
      </c>
      <c r="N219" s="24" t="e">
        <f>VLOOKUP(Vendas[[#This Row],[Mes2]],Planilha1!$J:$K,2,FALSE)</f>
        <v>#N/A</v>
      </c>
      <c r="O219" s="26" t="s">
        <v>491</v>
      </c>
    </row>
    <row r="220" spans="1:15">
      <c r="A220" s="13" t="s">
        <v>348</v>
      </c>
      <c r="B220" s="14">
        <v>45873</v>
      </c>
      <c r="C220" s="1" t="s">
        <v>111</v>
      </c>
      <c r="D220" s="1" t="s">
        <v>104</v>
      </c>
      <c r="E220" s="1" t="s">
        <v>99</v>
      </c>
      <c r="F220" s="1" t="s">
        <v>106</v>
      </c>
      <c r="G220" s="1" t="s">
        <v>107</v>
      </c>
      <c r="H220" s="15">
        <v>3</v>
      </c>
      <c r="I220" s="16">
        <v>28.9</v>
      </c>
      <c r="J220" s="17">
        <v>0</v>
      </c>
      <c r="K220" s="18">
        <f t="shared" si="9"/>
        <v>86.699999999999989</v>
      </c>
      <c r="L220" s="18">
        <f t="shared" si="10"/>
        <v>0</v>
      </c>
      <c r="M220" s="18">
        <f t="shared" si="11"/>
        <v>86.699999999999989</v>
      </c>
      <c r="N220" s="24" t="e">
        <f>VLOOKUP(Vendas[[#This Row],[Mes2]],Planilha1!$J:$K,2,FALSE)</f>
        <v>#N/A</v>
      </c>
      <c r="O220" s="26" t="s">
        <v>491</v>
      </c>
    </row>
    <row r="221" spans="1:15">
      <c r="A221" s="13" t="s">
        <v>357</v>
      </c>
      <c r="B221" s="14">
        <v>45873</v>
      </c>
      <c r="C221" s="1" t="s">
        <v>111</v>
      </c>
      <c r="D221" s="1" t="s">
        <v>104</v>
      </c>
      <c r="E221" s="1" t="s">
        <v>99</v>
      </c>
      <c r="F221" s="1" t="s">
        <v>100</v>
      </c>
      <c r="G221" s="1" t="s">
        <v>101</v>
      </c>
      <c r="H221" s="15">
        <v>2</v>
      </c>
      <c r="I221" s="16">
        <v>28.9</v>
      </c>
      <c r="J221" s="17">
        <v>0</v>
      </c>
      <c r="K221" s="18">
        <f t="shared" si="9"/>
        <v>57.8</v>
      </c>
      <c r="L221" s="18">
        <f t="shared" si="10"/>
        <v>0</v>
      </c>
      <c r="M221" s="18">
        <f t="shared" si="11"/>
        <v>57.8</v>
      </c>
      <c r="N221" s="24" t="e">
        <f>VLOOKUP(Vendas[[#This Row],[Mes2]],Planilha1!$J:$K,2,FALSE)</f>
        <v>#N/A</v>
      </c>
      <c r="O221" s="26" t="s">
        <v>491</v>
      </c>
    </row>
    <row r="222" spans="1:15">
      <c r="A222" s="13" t="s">
        <v>331</v>
      </c>
      <c r="B222" s="14">
        <v>45874</v>
      </c>
      <c r="C222" s="1" t="s">
        <v>97</v>
      </c>
      <c r="D222" s="1" t="s">
        <v>98</v>
      </c>
      <c r="E222" s="1" t="s">
        <v>99</v>
      </c>
      <c r="F222" s="1" t="s">
        <v>106</v>
      </c>
      <c r="G222" s="1" t="s">
        <v>116</v>
      </c>
      <c r="H222" s="15">
        <v>2</v>
      </c>
      <c r="I222" s="16">
        <v>34.9</v>
      </c>
      <c r="J222" s="17">
        <v>0.15</v>
      </c>
      <c r="K222" s="18">
        <f t="shared" si="9"/>
        <v>69.8</v>
      </c>
      <c r="L222" s="18">
        <f t="shared" si="10"/>
        <v>10.469999999999999</v>
      </c>
      <c r="M222" s="18">
        <f t="shared" si="11"/>
        <v>59.33</v>
      </c>
      <c r="N222" s="24" t="e">
        <f>VLOOKUP(Vendas[[#This Row],[Mes2]],Planilha1!$J:$K,2,FALSE)</f>
        <v>#N/A</v>
      </c>
      <c r="O222" s="26" t="s">
        <v>491</v>
      </c>
    </row>
    <row r="223" spans="1:15">
      <c r="A223" s="13" t="s">
        <v>332</v>
      </c>
      <c r="B223" s="14">
        <v>45874</v>
      </c>
      <c r="C223" s="1" t="s">
        <v>113</v>
      </c>
      <c r="D223" s="1" t="s">
        <v>114</v>
      </c>
      <c r="E223" s="1" t="s">
        <v>126</v>
      </c>
      <c r="F223" s="1" t="s">
        <v>106</v>
      </c>
      <c r="G223" s="1" t="s">
        <v>107</v>
      </c>
      <c r="H223" s="15">
        <v>1</v>
      </c>
      <c r="I223" s="16">
        <v>18.899999999999999</v>
      </c>
      <c r="J223" s="17">
        <v>0.1</v>
      </c>
      <c r="K223" s="18">
        <f t="shared" si="9"/>
        <v>18.899999999999999</v>
      </c>
      <c r="L223" s="18">
        <f t="shared" si="10"/>
        <v>1.89</v>
      </c>
      <c r="M223" s="18">
        <f t="shared" si="11"/>
        <v>17.009999999999998</v>
      </c>
      <c r="N223" s="24" t="e">
        <f>VLOOKUP(Vendas[[#This Row],[Mes2]],Planilha1!$J:$K,2,FALSE)</f>
        <v>#N/A</v>
      </c>
      <c r="O223" s="26" t="s">
        <v>491</v>
      </c>
    </row>
    <row r="224" spans="1:15">
      <c r="A224" s="13" t="s">
        <v>347</v>
      </c>
      <c r="B224" s="14">
        <v>45876</v>
      </c>
      <c r="C224" s="1" t="s">
        <v>111</v>
      </c>
      <c r="D224" s="1" t="s">
        <v>104</v>
      </c>
      <c r="E224" s="1" t="s">
        <v>109</v>
      </c>
      <c r="F224" s="1" t="s">
        <v>106</v>
      </c>
      <c r="G224" s="1" t="s">
        <v>101</v>
      </c>
      <c r="H224" s="15">
        <v>2</v>
      </c>
      <c r="I224" s="16">
        <v>28.9</v>
      </c>
      <c r="J224" s="17">
        <v>0.15</v>
      </c>
      <c r="K224" s="18">
        <f t="shared" si="9"/>
        <v>57.8</v>
      </c>
      <c r="L224" s="18">
        <f t="shared" si="10"/>
        <v>8.67</v>
      </c>
      <c r="M224" s="18">
        <f t="shared" si="11"/>
        <v>49.129999999999995</v>
      </c>
      <c r="N224" s="24" t="e">
        <f>VLOOKUP(Vendas[[#This Row],[Mes2]],Planilha1!$J:$K,2,FALSE)</f>
        <v>#N/A</v>
      </c>
      <c r="O224" s="26" t="s">
        <v>491</v>
      </c>
    </row>
    <row r="225" spans="1:15">
      <c r="A225" s="13" t="s">
        <v>342</v>
      </c>
      <c r="B225" s="14">
        <v>45877</v>
      </c>
      <c r="C225" s="1" t="s">
        <v>123</v>
      </c>
      <c r="D225" s="1" t="s">
        <v>114</v>
      </c>
      <c r="E225" s="1" t="s">
        <v>99</v>
      </c>
      <c r="F225" s="1" t="s">
        <v>100</v>
      </c>
      <c r="G225" s="1" t="s">
        <v>107</v>
      </c>
      <c r="H225" s="15">
        <v>1</v>
      </c>
      <c r="I225" s="16">
        <v>74.900000000000006</v>
      </c>
      <c r="J225" s="17">
        <v>0</v>
      </c>
      <c r="K225" s="18">
        <f t="shared" si="9"/>
        <v>74.900000000000006</v>
      </c>
      <c r="L225" s="18">
        <f t="shared" si="10"/>
        <v>0</v>
      </c>
      <c r="M225" s="18">
        <f t="shared" si="11"/>
        <v>74.900000000000006</v>
      </c>
      <c r="N225" s="24" t="e">
        <f>VLOOKUP(Vendas[[#This Row],[Mes2]],Planilha1!$J:$K,2,FALSE)</f>
        <v>#N/A</v>
      </c>
      <c r="O225" s="26" t="s">
        <v>491</v>
      </c>
    </row>
    <row r="226" spans="1:15">
      <c r="A226" s="13" t="s">
        <v>343</v>
      </c>
      <c r="B226" s="14">
        <v>45877</v>
      </c>
      <c r="C226" s="1" t="s">
        <v>121</v>
      </c>
      <c r="D226" s="1" t="s">
        <v>98</v>
      </c>
      <c r="E226" s="1" t="s">
        <v>109</v>
      </c>
      <c r="F226" s="1" t="s">
        <v>100</v>
      </c>
      <c r="G226" s="1" t="s">
        <v>101</v>
      </c>
      <c r="H226" s="15">
        <v>1</v>
      </c>
      <c r="I226" s="16">
        <v>12.9</v>
      </c>
      <c r="J226" s="17">
        <v>0</v>
      </c>
      <c r="K226" s="18">
        <f t="shared" si="9"/>
        <v>12.9</v>
      </c>
      <c r="L226" s="18">
        <f t="shared" si="10"/>
        <v>0</v>
      </c>
      <c r="M226" s="18">
        <f t="shared" si="11"/>
        <v>12.9</v>
      </c>
      <c r="N226" s="24" t="e">
        <f>VLOOKUP(Vendas[[#This Row],[Mes2]],Planilha1!$J:$K,2,FALSE)</f>
        <v>#N/A</v>
      </c>
      <c r="O226" s="26" t="s">
        <v>491</v>
      </c>
    </row>
    <row r="227" spans="1:15">
      <c r="A227" s="13" t="s">
        <v>354</v>
      </c>
      <c r="B227" s="14">
        <v>45882</v>
      </c>
      <c r="C227" s="1" t="s">
        <v>123</v>
      </c>
      <c r="D227" s="1" t="s">
        <v>114</v>
      </c>
      <c r="E227" s="1" t="s">
        <v>115</v>
      </c>
      <c r="F227" s="1" t="s">
        <v>106</v>
      </c>
      <c r="G227" s="1" t="s">
        <v>101</v>
      </c>
      <c r="H227" s="15">
        <v>1</v>
      </c>
      <c r="I227" s="16">
        <v>74.900000000000006</v>
      </c>
      <c r="J227" s="17">
        <v>0.15</v>
      </c>
      <c r="K227" s="18">
        <f t="shared" si="9"/>
        <v>74.900000000000006</v>
      </c>
      <c r="L227" s="18">
        <f t="shared" si="10"/>
        <v>11.235000000000001</v>
      </c>
      <c r="M227" s="18">
        <f t="shared" si="11"/>
        <v>63.665000000000006</v>
      </c>
      <c r="N227" s="24" t="e">
        <f>VLOOKUP(Vendas[[#This Row],[Mes2]],Planilha1!$J:$K,2,FALSE)</f>
        <v>#N/A</v>
      </c>
      <c r="O227" s="26" t="s">
        <v>491</v>
      </c>
    </row>
    <row r="228" spans="1:15">
      <c r="A228" s="13" t="s">
        <v>346</v>
      </c>
      <c r="B228" s="14">
        <v>45883</v>
      </c>
      <c r="C228" s="1" t="s">
        <v>123</v>
      </c>
      <c r="D228" s="1" t="s">
        <v>114</v>
      </c>
      <c r="E228" s="1" t="s">
        <v>105</v>
      </c>
      <c r="F228" s="1" t="s">
        <v>106</v>
      </c>
      <c r="G228" s="1" t="s">
        <v>101</v>
      </c>
      <c r="H228" s="15">
        <v>1</v>
      </c>
      <c r="I228" s="16">
        <v>74.900000000000006</v>
      </c>
      <c r="J228" s="17">
        <v>0.05</v>
      </c>
      <c r="K228" s="18">
        <f t="shared" si="9"/>
        <v>74.900000000000006</v>
      </c>
      <c r="L228" s="18">
        <f t="shared" si="10"/>
        <v>3.7450000000000006</v>
      </c>
      <c r="M228" s="18">
        <f t="shared" si="11"/>
        <v>71.155000000000001</v>
      </c>
      <c r="N228" s="24" t="e">
        <f>VLOOKUP(Vendas[[#This Row],[Mes2]],Planilha1!$J:$K,2,FALSE)</f>
        <v>#N/A</v>
      </c>
      <c r="O228" s="26" t="s">
        <v>491</v>
      </c>
    </row>
    <row r="229" spans="1:15">
      <c r="A229" s="13" t="s">
        <v>358</v>
      </c>
      <c r="B229" s="14">
        <v>45883</v>
      </c>
      <c r="C229" s="1" t="s">
        <v>121</v>
      </c>
      <c r="D229" s="1" t="s">
        <v>98</v>
      </c>
      <c r="E229" s="1" t="s">
        <v>109</v>
      </c>
      <c r="F229" s="1" t="s">
        <v>100</v>
      </c>
      <c r="G229" s="1" t="s">
        <v>107</v>
      </c>
      <c r="H229" s="15">
        <v>3</v>
      </c>
      <c r="I229" s="16">
        <v>12.9</v>
      </c>
      <c r="J229" s="17">
        <v>0.05</v>
      </c>
      <c r="K229" s="18">
        <f t="shared" si="9"/>
        <v>38.700000000000003</v>
      </c>
      <c r="L229" s="18">
        <f t="shared" si="10"/>
        <v>1.9350000000000003</v>
      </c>
      <c r="M229" s="18">
        <f t="shared" si="11"/>
        <v>36.765000000000001</v>
      </c>
      <c r="N229" s="24" t="e">
        <f>VLOOKUP(Vendas[[#This Row],[Mes2]],Planilha1!$J:$K,2,FALSE)</f>
        <v>#N/A</v>
      </c>
      <c r="O229" s="26" t="s">
        <v>491</v>
      </c>
    </row>
    <row r="230" spans="1:15">
      <c r="A230" s="13" t="s">
        <v>352</v>
      </c>
      <c r="B230" s="14">
        <v>45884</v>
      </c>
      <c r="C230" s="1" t="s">
        <v>123</v>
      </c>
      <c r="D230" s="1" t="s">
        <v>114</v>
      </c>
      <c r="E230" s="1" t="s">
        <v>99</v>
      </c>
      <c r="F230" s="1" t="s">
        <v>106</v>
      </c>
      <c r="G230" s="1" t="s">
        <v>143</v>
      </c>
      <c r="H230" s="15">
        <v>1</v>
      </c>
      <c r="I230" s="16">
        <v>74.900000000000006</v>
      </c>
      <c r="J230" s="17">
        <v>0.05</v>
      </c>
      <c r="K230" s="18">
        <f t="shared" si="9"/>
        <v>74.900000000000006</v>
      </c>
      <c r="L230" s="18">
        <f t="shared" si="10"/>
        <v>3.7450000000000006</v>
      </c>
      <c r="M230" s="18">
        <f t="shared" si="11"/>
        <v>71.155000000000001</v>
      </c>
      <c r="N230" s="24" t="e">
        <f>VLOOKUP(Vendas[[#This Row],[Mes2]],Planilha1!$J:$K,2,FALSE)</f>
        <v>#N/A</v>
      </c>
      <c r="O230" s="26" t="s">
        <v>491</v>
      </c>
    </row>
    <row r="231" spans="1:15">
      <c r="A231" s="13" t="s">
        <v>349</v>
      </c>
      <c r="B231" s="14">
        <v>45885</v>
      </c>
      <c r="C231" s="1" t="s">
        <v>103</v>
      </c>
      <c r="D231" s="1" t="s">
        <v>104</v>
      </c>
      <c r="E231" s="1" t="s">
        <v>115</v>
      </c>
      <c r="F231" s="1" t="s">
        <v>128</v>
      </c>
      <c r="G231" s="1" t="s">
        <v>107</v>
      </c>
      <c r="H231" s="15">
        <v>1</v>
      </c>
      <c r="I231" s="16">
        <v>39.9</v>
      </c>
      <c r="J231" s="17">
        <v>0.1</v>
      </c>
      <c r="K231" s="18">
        <f t="shared" si="9"/>
        <v>39.9</v>
      </c>
      <c r="L231" s="18">
        <f t="shared" si="10"/>
        <v>3.99</v>
      </c>
      <c r="M231" s="18">
        <f t="shared" si="11"/>
        <v>35.909999999999997</v>
      </c>
      <c r="N231" s="24" t="e">
        <f>VLOOKUP(Vendas[[#This Row],[Mes2]],Planilha1!$J:$K,2,FALSE)</f>
        <v>#N/A</v>
      </c>
      <c r="O231" s="26" t="s">
        <v>491</v>
      </c>
    </row>
    <row r="232" spans="1:15">
      <c r="A232" s="13" t="s">
        <v>353</v>
      </c>
      <c r="B232" s="14">
        <v>45886</v>
      </c>
      <c r="C232" s="1" t="s">
        <v>134</v>
      </c>
      <c r="D232" s="1" t="s">
        <v>104</v>
      </c>
      <c r="E232" s="1" t="s">
        <v>115</v>
      </c>
      <c r="F232" s="1" t="s">
        <v>100</v>
      </c>
      <c r="G232" s="1" t="s">
        <v>101</v>
      </c>
      <c r="H232" s="15">
        <v>1</v>
      </c>
      <c r="I232" s="16">
        <v>79.900000000000006</v>
      </c>
      <c r="J232" s="17">
        <v>0</v>
      </c>
      <c r="K232" s="18">
        <f t="shared" si="9"/>
        <v>79.900000000000006</v>
      </c>
      <c r="L232" s="18">
        <f t="shared" si="10"/>
        <v>0</v>
      </c>
      <c r="M232" s="18">
        <f t="shared" si="11"/>
        <v>79.900000000000006</v>
      </c>
      <c r="N232" s="24" t="e">
        <f>VLOOKUP(Vendas[[#This Row],[Mes2]],Planilha1!$J:$K,2,FALSE)</f>
        <v>#N/A</v>
      </c>
      <c r="O232" s="26" t="s">
        <v>491</v>
      </c>
    </row>
    <row r="233" spans="1:15">
      <c r="A233" s="13" t="s">
        <v>344</v>
      </c>
      <c r="B233" s="14">
        <v>45887</v>
      </c>
      <c r="C233" s="1" t="s">
        <v>121</v>
      </c>
      <c r="D233" s="1" t="s">
        <v>98</v>
      </c>
      <c r="E233" s="1" t="s">
        <v>99</v>
      </c>
      <c r="F233" s="1" t="s">
        <v>100</v>
      </c>
      <c r="G233" s="1" t="s">
        <v>107</v>
      </c>
      <c r="H233" s="15">
        <v>1</v>
      </c>
      <c r="I233" s="16">
        <v>12.9</v>
      </c>
      <c r="J233" s="17">
        <v>0.15</v>
      </c>
      <c r="K233" s="18">
        <f t="shared" si="9"/>
        <v>12.9</v>
      </c>
      <c r="L233" s="18">
        <f t="shared" si="10"/>
        <v>1.9350000000000001</v>
      </c>
      <c r="M233" s="18">
        <f t="shared" si="11"/>
        <v>10.965</v>
      </c>
      <c r="N233" s="24" t="e">
        <f>VLOOKUP(Vendas[[#This Row],[Mes2]],Planilha1!$J:$K,2,FALSE)</f>
        <v>#N/A</v>
      </c>
      <c r="O233" s="26" t="s">
        <v>491</v>
      </c>
    </row>
    <row r="234" spans="1:15">
      <c r="A234" s="13" t="s">
        <v>334</v>
      </c>
      <c r="B234" s="14">
        <v>45888</v>
      </c>
      <c r="C234" s="1" t="s">
        <v>113</v>
      </c>
      <c r="D234" s="1" t="s">
        <v>114</v>
      </c>
      <c r="E234" s="1" t="s">
        <v>105</v>
      </c>
      <c r="F234" s="1" t="s">
        <v>128</v>
      </c>
      <c r="G234" s="1" t="s">
        <v>116</v>
      </c>
      <c r="H234" s="15">
        <v>3</v>
      </c>
      <c r="I234" s="16">
        <v>18.899999999999999</v>
      </c>
      <c r="J234" s="17">
        <v>0.1</v>
      </c>
      <c r="K234" s="18">
        <f t="shared" si="9"/>
        <v>56.699999999999996</v>
      </c>
      <c r="L234" s="18">
        <f t="shared" si="10"/>
        <v>5.67</v>
      </c>
      <c r="M234" s="18">
        <f t="shared" si="11"/>
        <v>51.029999999999994</v>
      </c>
      <c r="N234" s="24" t="e">
        <f>VLOOKUP(Vendas[[#This Row],[Mes2]],Planilha1!$J:$K,2,FALSE)</f>
        <v>#N/A</v>
      </c>
      <c r="O234" s="26" t="s">
        <v>491</v>
      </c>
    </row>
    <row r="235" spans="1:15">
      <c r="A235" s="13" t="s">
        <v>329</v>
      </c>
      <c r="B235" s="14">
        <v>45889</v>
      </c>
      <c r="C235" s="1" t="s">
        <v>103</v>
      </c>
      <c r="D235" s="1" t="s">
        <v>104</v>
      </c>
      <c r="E235" s="1" t="s">
        <v>115</v>
      </c>
      <c r="F235" s="1" t="s">
        <v>106</v>
      </c>
      <c r="G235" s="1" t="s">
        <v>107</v>
      </c>
      <c r="H235" s="15">
        <v>2</v>
      </c>
      <c r="I235" s="16">
        <v>39.9</v>
      </c>
      <c r="J235" s="17">
        <v>0</v>
      </c>
      <c r="K235" s="18">
        <f t="shared" si="9"/>
        <v>79.8</v>
      </c>
      <c r="L235" s="18">
        <f t="shared" si="10"/>
        <v>0</v>
      </c>
      <c r="M235" s="18">
        <f t="shared" si="11"/>
        <v>79.8</v>
      </c>
      <c r="N235" s="24" t="e">
        <f>VLOOKUP(Vendas[[#This Row],[Mes2]],Planilha1!$J:$K,2,FALSE)</f>
        <v>#N/A</v>
      </c>
      <c r="O235" s="26" t="s">
        <v>491</v>
      </c>
    </row>
    <row r="236" spans="1:15">
      <c r="A236" s="13" t="s">
        <v>350</v>
      </c>
      <c r="B236" s="14">
        <v>45889</v>
      </c>
      <c r="C236" s="1" t="s">
        <v>118</v>
      </c>
      <c r="D236" s="1" t="s">
        <v>98</v>
      </c>
      <c r="E236" s="1" t="s">
        <v>126</v>
      </c>
      <c r="F236" s="1" t="s">
        <v>100</v>
      </c>
      <c r="G236" s="1" t="s">
        <v>107</v>
      </c>
      <c r="H236" s="15">
        <v>3</v>
      </c>
      <c r="I236" s="16">
        <v>89.9</v>
      </c>
      <c r="J236" s="17">
        <v>0.05</v>
      </c>
      <c r="K236" s="18">
        <f t="shared" si="9"/>
        <v>269.70000000000005</v>
      </c>
      <c r="L236" s="18">
        <f t="shared" si="10"/>
        <v>13.485000000000003</v>
      </c>
      <c r="M236" s="18">
        <f t="shared" si="11"/>
        <v>256.21500000000003</v>
      </c>
      <c r="N236" s="24" t="e">
        <f>VLOOKUP(Vendas[[#This Row],[Mes2]],Planilha1!$J:$K,2,FALSE)</f>
        <v>#N/A</v>
      </c>
      <c r="O236" s="26" t="s">
        <v>491</v>
      </c>
    </row>
    <row r="237" spans="1:15">
      <c r="A237" s="13" t="s">
        <v>355</v>
      </c>
      <c r="B237" s="14">
        <v>45891</v>
      </c>
      <c r="C237" s="1" t="s">
        <v>97</v>
      </c>
      <c r="D237" s="1" t="s">
        <v>98</v>
      </c>
      <c r="E237" s="1" t="s">
        <v>99</v>
      </c>
      <c r="F237" s="1" t="s">
        <v>128</v>
      </c>
      <c r="G237" s="1" t="s">
        <v>107</v>
      </c>
      <c r="H237" s="15">
        <v>2</v>
      </c>
      <c r="I237" s="16">
        <v>34.9</v>
      </c>
      <c r="J237" s="17">
        <v>0</v>
      </c>
      <c r="K237" s="18">
        <f t="shared" si="9"/>
        <v>69.8</v>
      </c>
      <c r="L237" s="18">
        <f t="shared" si="10"/>
        <v>0</v>
      </c>
      <c r="M237" s="18">
        <f t="shared" si="11"/>
        <v>69.8</v>
      </c>
      <c r="N237" s="24" t="e">
        <f>VLOOKUP(Vendas[[#This Row],[Mes2]],Planilha1!$J:$K,2,FALSE)</f>
        <v>#N/A</v>
      </c>
      <c r="O237" s="26" t="s">
        <v>491</v>
      </c>
    </row>
    <row r="238" spans="1:15">
      <c r="A238" s="13" t="s">
        <v>333</v>
      </c>
      <c r="B238" s="14">
        <v>45895</v>
      </c>
      <c r="C238" s="1" t="s">
        <v>111</v>
      </c>
      <c r="D238" s="1" t="s">
        <v>104</v>
      </c>
      <c r="E238" s="1" t="s">
        <v>99</v>
      </c>
      <c r="F238" s="1" t="s">
        <v>128</v>
      </c>
      <c r="G238" s="1" t="s">
        <v>116</v>
      </c>
      <c r="H238" s="15">
        <v>2</v>
      </c>
      <c r="I238" s="16">
        <v>28.9</v>
      </c>
      <c r="J238" s="17">
        <v>0</v>
      </c>
      <c r="K238" s="18">
        <f t="shared" si="9"/>
        <v>57.8</v>
      </c>
      <c r="L238" s="18">
        <f t="shared" si="10"/>
        <v>0</v>
      </c>
      <c r="M238" s="18">
        <f t="shared" si="11"/>
        <v>57.8</v>
      </c>
      <c r="N238" s="24" t="e">
        <f>VLOOKUP(Vendas[[#This Row],[Mes2]],Planilha1!$J:$K,2,FALSE)</f>
        <v>#N/A</v>
      </c>
      <c r="O238" s="26" t="s">
        <v>491</v>
      </c>
    </row>
    <row r="239" spans="1:15">
      <c r="A239" s="13" t="s">
        <v>337</v>
      </c>
      <c r="B239" s="14">
        <v>45896</v>
      </c>
      <c r="C239" s="1" t="s">
        <v>121</v>
      </c>
      <c r="D239" s="1" t="s">
        <v>98</v>
      </c>
      <c r="E239" s="1" t="s">
        <v>105</v>
      </c>
      <c r="F239" s="1" t="s">
        <v>100</v>
      </c>
      <c r="G239" s="1" t="s">
        <v>107</v>
      </c>
      <c r="H239" s="15">
        <v>3</v>
      </c>
      <c r="I239" s="16">
        <v>12.9</v>
      </c>
      <c r="J239" s="17">
        <v>0.05</v>
      </c>
      <c r="K239" s="18">
        <f t="shared" si="9"/>
        <v>38.700000000000003</v>
      </c>
      <c r="L239" s="18">
        <f t="shared" si="10"/>
        <v>1.9350000000000003</v>
      </c>
      <c r="M239" s="18">
        <f t="shared" si="11"/>
        <v>36.765000000000001</v>
      </c>
      <c r="N239" s="24" t="e">
        <f>VLOOKUP(Vendas[[#This Row],[Mes2]],Planilha1!$J:$K,2,FALSE)</f>
        <v>#N/A</v>
      </c>
      <c r="O239" s="26" t="s">
        <v>491</v>
      </c>
    </row>
    <row r="240" spans="1:15">
      <c r="A240" s="13" t="s">
        <v>335</v>
      </c>
      <c r="B240" s="14">
        <v>45899</v>
      </c>
      <c r="C240" s="1" t="s">
        <v>118</v>
      </c>
      <c r="D240" s="1" t="s">
        <v>98</v>
      </c>
      <c r="E240" s="1" t="s">
        <v>109</v>
      </c>
      <c r="F240" s="1" t="s">
        <v>100</v>
      </c>
      <c r="G240" s="1" t="s">
        <v>116</v>
      </c>
      <c r="H240" s="15">
        <v>3</v>
      </c>
      <c r="I240" s="16">
        <v>89.9</v>
      </c>
      <c r="J240" s="17">
        <v>0.1</v>
      </c>
      <c r="K240" s="18">
        <f t="shared" si="9"/>
        <v>269.70000000000005</v>
      </c>
      <c r="L240" s="18">
        <f t="shared" si="10"/>
        <v>26.970000000000006</v>
      </c>
      <c r="M240" s="18">
        <f t="shared" si="11"/>
        <v>242.73000000000005</v>
      </c>
      <c r="N240" s="24" t="e">
        <f>VLOOKUP(Vendas[[#This Row],[Mes2]],Planilha1!$J:$K,2,FALSE)</f>
        <v>#N/A</v>
      </c>
      <c r="O240" s="26" t="s">
        <v>491</v>
      </c>
    </row>
    <row r="241" spans="1:15">
      <c r="A241" s="13" t="s">
        <v>340</v>
      </c>
      <c r="B241" s="14">
        <v>45899</v>
      </c>
      <c r="C241" s="1" t="s">
        <v>103</v>
      </c>
      <c r="D241" s="1" t="s">
        <v>104</v>
      </c>
      <c r="E241" s="1" t="s">
        <v>115</v>
      </c>
      <c r="F241" s="1" t="s">
        <v>100</v>
      </c>
      <c r="G241" s="1" t="s">
        <v>143</v>
      </c>
      <c r="H241" s="15">
        <v>3</v>
      </c>
      <c r="I241" s="16">
        <v>39.9</v>
      </c>
      <c r="J241" s="17">
        <v>0</v>
      </c>
      <c r="K241" s="18">
        <f t="shared" si="9"/>
        <v>119.69999999999999</v>
      </c>
      <c r="L241" s="18">
        <f t="shared" si="10"/>
        <v>0</v>
      </c>
      <c r="M241" s="18">
        <f t="shared" si="11"/>
        <v>119.69999999999999</v>
      </c>
      <c r="N241" s="24" t="e">
        <f>VLOOKUP(Vendas[[#This Row],[Mes2]],Planilha1!$J:$K,2,FALSE)</f>
        <v>#N/A</v>
      </c>
      <c r="O241" s="26" t="s">
        <v>491</v>
      </c>
    </row>
    <row r="242" spans="1:15">
      <c r="A242" s="13" t="s">
        <v>330</v>
      </c>
      <c r="B242" s="14">
        <v>45900</v>
      </c>
      <c r="C242" s="1" t="s">
        <v>103</v>
      </c>
      <c r="D242" s="1" t="s">
        <v>104</v>
      </c>
      <c r="E242" s="1" t="s">
        <v>99</v>
      </c>
      <c r="F242" s="1" t="s">
        <v>106</v>
      </c>
      <c r="G242" s="1" t="s">
        <v>107</v>
      </c>
      <c r="H242" s="15">
        <v>3</v>
      </c>
      <c r="I242" s="16">
        <v>39.9</v>
      </c>
      <c r="J242" s="17">
        <v>0.05</v>
      </c>
      <c r="K242" s="18">
        <f t="shared" si="9"/>
        <v>119.69999999999999</v>
      </c>
      <c r="L242" s="18">
        <f t="shared" si="10"/>
        <v>5.9849999999999994</v>
      </c>
      <c r="M242" s="18">
        <f t="shared" si="11"/>
        <v>113.71499999999999</v>
      </c>
      <c r="N242" s="24" t="e">
        <f>VLOOKUP(Vendas[[#This Row],[Mes2]],Planilha1!$J:$K,2,FALSE)</f>
        <v>#N/A</v>
      </c>
      <c r="O242" s="26" t="s">
        <v>491</v>
      </c>
    </row>
    <row r="243" spans="1:15">
      <c r="A243" s="13" t="s">
        <v>336</v>
      </c>
      <c r="B243" s="14">
        <v>45900</v>
      </c>
      <c r="C243" s="1" t="s">
        <v>134</v>
      </c>
      <c r="D243" s="1" t="s">
        <v>104</v>
      </c>
      <c r="E243" s="1" t="s">
        <v>99</v>
      </c>
      <c r="F243" s="1" t="s">
        <v>106</v>
      </c>
      <c r="G243" s="1" t="s">
        <v>101</v>
      </c>
      <c r="H243" s="15">
        <v>2</v>
      </c>
      <c r="I243" s="16">
        <v>79.900000000000006</v>
      </c>
      <c r="J243" s="17">
        <v>0</v>
      </c>
      <c r="K243" s="18">
        <f t="shared" si="9"/>
        <v>159.80000000000001</v>
      </c>
      <c r="L243" s="18">
        <f t="shared" si="10"/>
        <v>0</v>
      </c>
      <c r="M243" s="18">
        <f t="shared" si="11"/>
        <v>159.80000000000001</v>
      </c>
      <c r="N243" s="24" t="e">
        <f>VLOOKUP(Vendas[[#This Row],[Mes2]],Planilha1!$J:$K,2,FALSE)</f>
        <v>#N/A</v>
      </c>
      <c r="O243" s="26" t="s">
        <v>491</v>
      </c>
    </row>
    <row r="244" spans="1:15">
      <c r="A244" s="13" t="s">
        <v>351</v>
      </c>
      <c r="B244" s="14">
        <v>45900</v>
      </c>
      <c r="C244" s="1" t="s">
        <v>97</v>
      </c>
      <c r="D244" s="1" t="s">
        <v>98</v>
      </c>
      <c r="E244" s="1" t="s">
        <v>115</v>
      </c>
      <c r="F244" s="1" t="s">
        <v>100</v>
      </c>
      <c r="G244" s="1" t="s">
        <v>101</v>
      </c>
      <c r="H244" s="15">
        <v>2</v>
      </c>
      <c r="I244" s="16">
        <v>34.9</v>
      </c>
      <c r="J244" s="17">
        <v>0.1</v>
      </c>
      <c r="K244" s="18">
        <f t="shared" si="9"/>
        <v>69.8</v>
      </c>
      <c r="L244" s="18">
        <f t="shared" si="10"/>
        <v>6.98</v>
      </c>
      <c r="M244" s="18">
        <f t="shared" si="11"/>
        <v>62.819999999999993</v>
      </c>
      <c r="N244" s="24" t="e">
        <f>VLOOKUP(Vendas[[#This Row],[Mes2]],Planilha1!$J:$K,2,FALSE)</f>
        <v>#N/A</v>
      </c>
      <c r="O244" s="26" t="s">
        <v>491</v>
      </c>
    </row>
    <row r="245" spans="1:15">
      <c r="A245" s="13" t="s">
        <v>387</v>
      </c>
      <c r="B245" s="14">
        <v>45901</v>
      </c>
      <c r="C245" s="1" t="s">
        <v>118</v>
      </c>
      <c r="D245" s="1" t="s">
        <v>98</v>
      </c>
      <c r="E245" s="1" t="s">
        <v>99</v>
      </c>
      <c r="F245" s="1" t="s">
        <v>100</v>
      </c>
      <c r="G245" s="1" t="s">
        <v>107</v>
      </c>
      <c r="H245" s="15">
        <v>2</v>
      </c>
      <c r="I245" s="16">
        <v>89.9</v>
      </c>
      <c r="J245" s="17">
        <v>0</v>
      </c>
      <c r="K245" s="18">
        <f t="shared" si="9"/>
        <v>179.8</v>
      </c>
      <c r="L245" s="18">
        <f t="shared" si="10"/>
        <v>0</v>
      </c>
      <c r="M245" s="18">
        <f t="shared" si="11"/>
        <v>179.8</v>
      </c>
      <c r="N245" s="24" t="e">
        <f>VLOOKUP(Vendas[[#This Row],[Mes2]],Planilha1!$J:$K,2,FALSE)</f>
        <v>#N/A</v>
      </c>
      <c r="O245" s="26" t="s">
        <v>492</v>
      </c>
    </row>
    <row r="246" spans="1:15">
      <c r="A246" s="13" t="s">
        <v>374</v>
      </c>
      <c r="B246" s="14">
        <v>45902</v>
      </c>
      <c r="C246" s="1" t="s">
        <v>103</v>
      </c>
      <c r="D246" s="1" t="s">
        <v>104</v>
      </c>
      <c r="E246" s="1" t="s">
        <v>99</v>
      </c>
      <c r="F246" s="1" t="s">
        <v>100</v>
      </c>
      <c r="G246" s="1" t="s">
        <v>101</v>
      </c>
      <c r="H246" s="15">
        <v>1</v>
      </c>
      <c r="I246" s="16">
        <v>39.9</v>
      </c>
      <c r="J246" s="17">
        <v>0.05</v>
      </c>
      <c r="K246" s="18">
        <f t="shared" si="9"/>
        <v>39.9</v>
      </c>
      <c r="L246" s="18">
        <f t="shared" si="10"/>
        <v>1.9950000000000001</v>
      </c>
      <c r="M246" s="18">
        <f t="shared" si="11"/>
        <v>37.905000000000001</v>
      </c>
      <c r="N246" s="24" t="e">
        <f>VLOOKUP(Vendas[[#This Row],[Mes2]],Planilha1!$J:$K,2,FALSE)</f>
        <v>#N/A</v>
      </c>
      <c r="O246" s="26" t="s">
        <v>492</v>
      </c>
    </row>
    <row r="247" spans="1:15">
      <c r="A247" s="13" t="s">
        <v>382</v>
      </c>
      <c r="B247" s="14">
        <v>45902</v>
      </c>
      <c r="C247" s="1" t="s">
        <v>97</v>
      </c>
      <c r="D247" s="1" t="s">
        <v>98</v>
      </c>
      <c r="E247" s="1" t="s">
        <v>115</v>
      </c>
      <c r="F247" s="1" t="s">
        <v>100</v>
      </c>
      <c r="G247" s="1" t="s">
        <v>101</v>
      </c>
      <c r="H247" s="15">
        <v>1</v>
      </c>
      <c r="I247" s="16">
        <v>34.9</v>
      </c>
      <c r="J247" s="17">
        <v>0.1</v>
      </c>
      <c r="K247" s="18">
        <f t="shared" si="9"/>
        <v>34.9</v>
      </c>
      <c r="L247" s="18">
        <f t="shared" si="10"/>
        <v>3.49</v>
      </c>
      <c r="M247" s="18">
        <f t="shared" si="11"/>
        <v>31.409999999999997</v>
      </c>
      <c r="N247" s="24" t="e">
        <f>VLOOKUP(Vendas[[#This Row],[Mes2]],Planilha1!$J:$K,2,FALSE)</f>
        <v>#N/A</v>
      </c>
      <c r="O247" s="26" t="s">
        <v>492</v>
      </c>
    </row>
    <row r="248" spans="1:15">
      <c r="A248" s="13" t="s">
        <v>386</v>
      </c>
      <c r="B248" s="14">
        <v>45902</v>
      </c>
      <c r="C248" s="1" t="s">
        <v>111</v>
      </c>
      <c r="D248" s="1" t="s">
        <v>104</v>
      </c>
      <c r="E248" s="1" t="s">
        <v>99</v>
      </c>
      <c r="F248" s="1" t="s">
        <v>100</v>
      </c>
      <c r="G248" s="1" t="s">
        <v>101</v>
      </c>
      <c r="H248" s="15">
        <v>1</v>
      </c>
      <c r="I248" s="16">
        <v>28.9</v>
      </c>
      <c r="J248" s="17">
        <v>0.15</v>
      </c>
      <c r="K248" s="18">
        <f t="shared" si="9"/>
        <v>28.9</v>
      </c>
      <c r="L248" s="18">
        <f t="shared" si="10"/>
        <v>4.335</v>
      </c>
      <c r="M248" s="18">
        <f t="shared" si="11"/>
        <v>24.564999999999998</v>
      </c>
      <c r="N248" s="24" t="e">
        <f>VLOOKUP(Vendas[[#This Row],[Mes2]],Planilha1!$J:$K,2,FALSE)</f>
        <v>#N/A</v>
      </c>
      <c r="O248" s="26" t="s">
        <v>492</v>
      </c>
    </row>
    <row r="249" spans="1:15">
      <c r="A249" s="13" t="s">
        <v>373</v>
      </c>
      <c r="B249" s="14">
        <v>45903</v>
      </c>
      <c r="C249" s="1" t="s">
        <v>111</v>
      </c>
      <c r="D249" s="1" t="s">
        <v>104</v>
      </c>
      <c r="E249" s="1" t="s">
        <v>109</v>
      </c>
      <c r="F249" s="1" t="s">
        <v>100</v>
      </c>
      <c r="G249" s="1" t="s">
        <v>101</v>
      </c>
      <c r="H249" s="15">
        <v>2</v>
      </c>
      <c r="I249" s="16">
        <v>28.9</v>
      </c>
      <c r="J249" s="17">
        <v>0</v>
      </c>
      <c r="K249" s="18">
        <f t="shared" si="9"/>
        <v>57.8</v>
      </c>
      <c r="L249" s="18">
        <f t="shared" si="10"/>
        <v>0</v>
      </c>
      <c r="M249" s="18">
        <f t="shared" si="11"/>
        <v>57.8</v>
      </c>
      <c r="N249" s="24" t="e">
        <f>VLOOKUP(Vendas[[#This Row],[Mes2]],Planilha1!$J:$K,2,FALSE)</f>
        <v>#N/A</v>
      </c>
      <c r="O249" s="26" t="s">
        <v>492</v>
      </c>
    </row>
    <row r="250" spans="1:15">
      <c r="A250" s="13" t="s">
        <v>388</v>
      </c>
      <c r="B250" s="14">
        <v>45903</v>
      </c>
      <c r="C250" s="1" t="s">
        <v>111</v>
      </c>
      <c r="D250" s="1" t="s">
        <v>104</v>
      </c>
      <c r="E250" s="1" t="s">
        <v>99</v>
      </c>
      <c r="F250" s="1" t="s">
        <v>100</v>
      </c>
      <c r="G250" s="1" t="s">
        <v>101</v>
      </c>
      <c r="H250" s="15">
        <v>2</v>
      </c>
      <c r="I250" s="16">
        <v>28.9</v>
      </c>
      <c r="J250" s="17">
        <v>0.05</v>
      </c>
      <c r="K250" s="18">
        <f t="shared" si="9"/>
        <v>57.8</v>
      </c>
      <c r="L250" s="18">
        <f t="shared" si="10"/>
        <v>2.89</v>
      </c>
      <c r="M250" s="18">
        <f t="shared" si="11"/>
        <v>54.91</v>
      </c>
      <c r="N250" s="24" t="e">
        <f>VLOOKUP(Vendas[[#This Row],[Mes2]],Planilha1!$J:$K,2,FALSE)</f>
        <v>#N/A</v>
      </c>
      <c r="O250" s="26" t="s">
        <v>492</v>
      </c>
    </row>
    <row r="251" spans="1:15">
      <c r="A251" s="13" t="s">
        <v>381</v>
      </c>
      <c r="B251" s="14">
        <v>45906</v>
      </c>
      <c r="C251" s="1" t="s">
        <v>103</v>
      </c>
      <c r="D251" s="1" t="s">
        <v>104</v>
      </c>
      <c r="E251" s="1" t="s">
        <v>99</v>
      </c>
      <c r="F251" s="1" t="s">
        <v>106</v>
      </c>
      <c r="G251" s="1" t="s">
        <v>107</v>
      </c>
      <c r="H251" s="15">
        <v>3</v>
      </c>
      <c r="I251" s="16">
        <v>39.9</v>
      </c>
      <c r="J251" s="17">
        <v>0.1</v>
      </c>
      <c r="K251" s="18">
        <f t="shared" si="9"/>
        <v>119.69999999999999</v>
      </c>
      <c r="L251" s="18">
        <f t="shared" si="10"/>
        <v>11.969999999999999</v>
      </c>
      <c r="M251" s="18">
        <f t="shared" si="11"/>
        <v>107.72999999999999</v>
      </c>
      <c r="N251" s="24" t="e">
        <f>VLOOKUP(Vendas[[#This Row],[Mes2]],Planilha1!$J:$K,2,FALSE)</f>
        <v>#N/A</v>
      </c>
      <c r="O251" s="26" t="s">
        <v>492</v>
      </c>
    </row>
    <row r="252" spans="1:15">
      <c r="A252" s="13" t="s">
        <v>370</v>
      </c>
      <c r="B252" s="14">
        <v>45907</v>
      </c>
      <c r="C252" s="1" t="s">
        <v>97</v>
      </c>
      <c r="D252" s="1" t="s">
        <v>98</v>
      </c>
      <c r="E252" s="1" t="s">
        <v>99</v>
      </c>
      <c r="F252" s="1" t="s">
        <v>100</v>
      </c>
      <c r="G252" s="1" t="s">
        <v>116</v>
      </c>
      <c r="H252" s="15">
        <v>2</v>
      </c>
      <c r="I252" s="16">
        <v>34.9</v>
      </c>
      <c r="J252" s="17">
        <v>0.05</v>
      </c>
      <c r="K252" s="18">
        <f t="shared" si="9"/>
        <v>69.8</v>
      </c>
      <c r="L252" s="18">
        <f t="shared" si="10"/>
        <v>3.49</v>
      </c>
      <c r="M252" s="18">
        <f t="shared" si="11"/>
        <v>66.31</v>
      </c>
      <c r="N252" s="24" t="e">
        <f>VLOOKUP(Vendas[[#This Row],[Mes2]],Planilha1!$J:$K,2,FALSE)</f>
        <v>#N/A</v>
      </c>
      <c r="O252" s="26" t="s">
        <v>492</v>
      </c>
    </row>
    <row r="253" spans="1:15">
      <c r="A253" s="13" t="s">
        <v>383</v>
      </c>
      <c r="B253" s="14">
        <v>45907</v>
      </c>
      <c r="C253" s="1" t="s">
        <v>97</v>
      </c>
      <c r="D253" s="1" t="s">
        <v>98</v>
      </c>
      <c r="E253" s="1" t="s">
        <v>115</v>
      </c>
      <c r="F253" s="1" t="s">
        <v>100</v>
      </c>
      <c r="G253" s="1" t="s">
        <v>107</v>
      </c>
      <c r="H253" s="15">
        <v>1</v>
      </c>
      <c r="I253" s="16">
        <v>34.9</v>
      </c>
      <c r="J253" s="17">
        <v>0</v>
      </c>
      <c r="K253" s="18">
        <f t="shared" si="9"/>
        <v>34.9</v>
      </c>
      <c r="L253" s="18">
        <f t="shared" si="10"/>
        <v>0</v>
      </c>
      <c r="M253" s="18">
        <f t="shared" si="11"/>
        <v>34.9</v>
      </c>
      <c r="N253" s="24" t="e">
        <f>VLOOKUP(Vendas[[#This Row],[Mes2]],Planilha1!$J:$K,2,FALSE)</f>
        <v>#N/A</v>
      </c>
      <c r="O253" s="26" t="s">
        <v>492</v>
      </c>
    </row>
    <row r="254" spans="1:15">
      <c r="A254" s="13" t="s">
        <v>376</v>
      </c>
      <c r="B254" s="14">
        <v>45909</v>
      </c>
      <c r="C254" s="1" t="s">
        <v>97</v>
      </c>
      <c r="D254" s="1" t="s">
        <v>98</v>
      </c>
      <c r="E254" s="1" t="s">
        <v>99</v>
      </c>
      <c r="F254" s="1" t="s">
        <v>100</v>
      </c>
      <c r="G254" s="1" t="s">
        <v>107</v>
      </c>
      <c r="H254" s="15">
        <v>3</v>
      </c>
      <c r="I254" s="16">
        <v>34.9</v>
      </c>
      <c r="J254" s="17">
        <v>0</v>
      </c>
      <c r="K254" s="18">
        <f t="shared" si="9"/>
        <v>104.69999999999999</v>
      </c>
      <c r="L254" s="18">
        <f t="shared" si="10"/>
        <v>0</v>
      </c>
      <c r="M254" s="18">
        <f t="shared" si="11"/>
        <v>104.69999999999999</v>
      </c>
      <c r="N254" s="24" t="e">
        <f>VLOOKUP(Vendas[[#This Row],[Mes2]],Planilha1!$J:$K,2,FALSE)</f>
        <v>#N/A</v>
      </c>
      <c r="O254" s="26" t="s">
        <v>492</v>
      </c>
    </row>
    <row r="255" spans="1:15">
      <c r="A255" s="13" t="s">
        <v>359</v>
      </c>
      <c r="B255" s="14">
        <v>45910</v>
      </c>
      <c r="C255" s="1" t="s">
        <v>113</v>
      </c>
      <c r="D255" s="1" t="s">
        <v>114</v>
      </c>
      <c r="E255" s="1" t="s">
        <v>109</v>
      </c>
      <c r="F255" s="1" t="s">
        <v>100</v>
      </c>
      <c r="G255" s="1" t="s">
        <v>107</v>
      </c>
      <c r="H255" s="15">
        <v>2</v>
      </c>
      <c r="I255" s="16">
        <v>18.899999999999999</v>
      </c>
      <c r="J255" s="17">
        <v>0.15</v>
      </c>
      <c r="K255" s="18">
        <f t="shared" si="9"/>
        <v>37.799999999999997</v>
      </c>
      <c r="L255" s="18">
        <f t="shared" si="10"/>
        <v>5.669999999999999</v>
      </c>
      <c r="M255" s="18">
        <f t="shared" si="11"/>
        <v>32.129999999999995</v>
      </c>
      <c r="N255" s="24" t="e">
        <f>VLOOKUP(Vendas[[#This Row],[Mes2]],Planilha1!$J:$K,2,FALSE)</f>
        <v>#N/A</v>
      </c>
      <c r="O255" s="26" t="s">
        <v>492</v>
      </c>
    </row>
    <row r="256" spans="1:15">
      <c r="A256" s="13" t="s">
        <v>368</v>
      </c>
      <c r="B256" s="14">
        <v>45910</v>
      </c>
      <c r="C256" s="1" t="s">
        <v>111</v>
      </c>
      <c r="D256" s="1" t="s">
        <v>104</v>
      </c>
      <c r="E256" s="1" t="s">
        <v>99</v>
      </c>
      <c r="F256" s="1" t="s">
        <v>100</v>
      </c>
      <c r="G256" s="1" t="s">
        <v>101</v>
      </c>
      <c r="H256" s="15">
        <v>2</v>
      </c>
      <c r="I256" s="16">
        <v>28.9</v>
      </c>
      <c r="J256" s="17">
        <v>0</v>
      </c>
      <c r="K256" s="18">
        <f t="shared" si="9"/>
        <v>57.8</v>
      </c>
      <c r="L256" s="18">
        <f t="shared" si="10"/>
        <v>0</v>
      </c>
      <c r="M256" s="18">
        <f t="shared" si="11"/>
        <v>57.8</v>
      </c>
      <c r="N256" s="24" t="e">
        <f>VLOOKUP(Vendas[[#This Row],[Mes2]],Planilha1!$J:$K,2,FALSE)</f>
        <v>#N/A</v>
      </c>
      <c r="O256" s="26" t="s">
        <v>492</v>
      </c>
    </row>
    <row r="257" spans="1:15">
      <c r="A257" s="13" t="s">
        <v>380</v>
      </c>
      <c r="B257" s="14">
        <v>45910</v>
      </c>
      <c r="C257" s="1" t="s">
        <v>113</v>
      </c>
      <c r="D257" s="1" t="s">
        <v>114</v>
      </c>
      <c r="E257" s="1" t="s">
        <v>109</v>
      </c>
      <c r="F257" s="1" t="s">
        <v>100</v>
      </c>
      <c r="G257" s="1" t="s">
        <v>116</v>
      </c>
      <c r="H257" s="15">
        <v>2</v>
      </c>
      <c r="I257" s="16">
        <v>18.899999999999999</v>
      </c>
      <c r="J257" s="17">
        <v>0.05</v>
      </c>
      <c r="K257" s="18">
        <f t="shared" si="9"/>
        <v>37.799999999999997</v>
      </c>
      <c r="L257" s="18">
        <f t="shared" si="10"/>
        <v>1.89</v>
      </c>
      <c r="M257" s="18">
        <f t="shared" si="11"/>
        <v>35.909999999999997</v>
      </c>
      <c r="N257" s="24" t="e">
        <f>VLOOKUP(Vendas[[#This Row],[Mes2]],Planilha1!$J:$K,2,FALSE)</f>
        <v>#N/A</v>
      </c>
      <c r="O257" s="26" t="s">
        <v>492</v>
      </c>
    </row>
    <row r="258" spans="1:15">
      <c r="A258" s="13" t="s">
        <v>384</v>
      </c>
      <c r="B258" s="14">
        <v>45911</v>
      </c>
      <c r="C258" s="1" t="s">
        <v>113</v>
      </c>
      <c r="D258" s="1" t="s">
        <v>114</v>
      </c>
      <c r="E258" s="1" t="s">
        <v>105</v>
      </c>
      <c r="F258" s="1" t="s">
        <v>106</v>
      </c>
      <c r="G258" s="1" t="s">
        <v>101</v>
      </c>
      <c r="H258" s="15">
        <v>3</v>
      </c>
      <c r="I258" s="16">
        <v>18.899999999999999</v>
      </c>
      <c r="J258" s="17">
        <v>0.1</v>
      </c>
      <c r="K258" s="18">
        <f t="shared" si="9"/>
        <v>56.699999999999996</v>
      </c>
      <c r="L258" s="18">
        <f t="shared" si="10"/>
        <v>5.67</v>
      </c>
      <c r="M258" s="18">
        <f t="shared" si="11"/>
        <v>51.029999999999994</v>
      </c>
      <c r="N258" s="24" t="e">
        <f>VLOOKUP(Vendas[[#This Row],[Mes2]],Planilha1!$J:$K,2,FALSE)</f>
        <v>#N/A</v>
      </c>
      <c r="O258" s="26" t="s">
        <v>492</v>
      </c>
    </row>
    <row r="259" spans="1:15">
      <c r="A259" s="13" t="s">
        <v>369</v>
      </c>
      <c r="B259" s="14">
        <v>45912</v>
      </c>
      <c r="C259" s="1" t="s">
        <v>113</v>
      </c>
      <c r="D259" s="1" t="s">
        <v>114</v>
      </c>
      <c r="E259" s="1" t="s">
        <v>126</v>
      </c>
      <c r="F259" s="1" t="s">
        <v>100</v>
      </c>
      <c r="G259" s="1" t="s">
        <v>116</v>
      </c>
      <c r="H259" s="15">
        <v>3</v>
      </c>
      <c r="I259" s="16">
        <v>18.899999999999999</v>
      </c>
      <c r="J259" s="17">
        <v>0</v>
      </c>
      <c r="K259" s="18">
        <f t="shared" si="9"/>
        <v>56.699999999999996</v>
      </c>
      <c r="L259" s="18">
        <f t="shared" si="10"/>
        <v>0</v>
      </c>
      <c r="M259" s="18">
        <f t="shared" si="11"/>
        <v>56.699999999999996</v>
      </c>
      <c r="N259" s="24" t="e">
        <f>VLOOKUP(Vendas[[#This Row],[Mes2]],Planilha1!$J:$K,2,FALSE)</f>
        <v>#N/A</v>
      </c>
      <c r="O259" s="26" t="s">
        <v>492</v>
      </c>
    </row>
    <row r="260" spans="1:15">
      <c r="A260" s="13" t="s">
        <v>360</v>
      </c>
      <c r="B260" s="14">
        <v>45913</v>
      </c>
      <c r="C260" s="1" t="s">
        <v>97</v>
      </c>
      <c r="D260" s="1" t="s">
        <v>98</v>
      </c>
      <c r="E260" s="1" t="s">
        <v>115</v>
      </c>
      <c r="F260" s="1" t="s">
        <v>106</v>
      </c>
      <c r="G260" s="1" t="s">
        <v>101</v>
      </c>
      <c r="H260" s="15">
        <v>3</v>
      </c>
      <c r="I260" s="16">
        <v>34.9</v>
      </c>
      <c r="J260" s="17">
        <v>0.05</v>
      </c>
      <c r="K260" s="18">
        <f t="shared" si="9"/>
        <v>104.69999999999999</v>
      </c>
      <c r="L260" s="18">
        <f t="shared" si="10"/>
        <v>5.2349999999999994</v>
      </c>
      <c r="M260" s="18">
        <f t="shared" si="11"/>
        <v>99.464999999999989</v>
      </c>
      <c r="N260" s="24" t="e">
        <f>VLOOKUP(Vendas[[#This Row],[Mes2]],Planilha1!$J:$K,2,FALSE)</f>
        <v>#N/A</v>
      </c>
      <c r="O260" s="26" t="s">
        <v>492</v>
      </c>
    </row>
    <row r="261" spans="1:15">
      <c r="A261" s="13" t="s">
        <v>361</v>
      </c>
      <c r="B261" s="14">
        <v>45914</v>
      </c>
      <c r="C261" s="1" t="s">
        <v>134</v>
      </c>
      <c r="D261" s="1" t="s">
        <v>104</v>
      </c>
      <c r="E261" s="1" t="s">
        <v>99</v>
      </c>
      <c r="F261" s="1" t="s">
        <v>100</v>
      </c>
      <c r="G261" s="1" t="s">
        <v>107</v>
      </c>
      <c r="H261" s="15">
        <v>2</v>
      </c>
      <c r="I261" s="16">
        <v>79.900000000000006</v>
      </c>
      <c r="J261" s="17">
        <v>0.1</v>
      </c>
      <c r="K261" s="18">
        <f t="shared" ref="K261:K324" si="12">H261*I261</f>
        <v>159.80000000000001</v>
      </c>
      <c r="L261" s="18">
        <f t="shared" ref="L261:L324" si="13">K261*J261</f>
        <v>15.980000000000002</v>
      </c>
      <c r="M261" s="18">
        <f t="shared" ref="M261:M324" si="14">K261-L261</f>
        <v>143.82000000000002</v>
      </c>
      <c r="N261" s="24" t="e">
        <f>VLOOKUP(Vendas[[#This Row],[Mes2]],Planilha1!$J:$K,2,FALSE)</f>
        <v>#N/A</v>
      </c>
      <c r="O261" s="26" t="s">
        <v>492</v>
      </c>
    </row>
    <row r="262" spans="1:15">
      <c r="A262" s="13" t="s">
        <v>362</v>
      </c>
      <c r="B262" s="14">
        <v>45914</v>
      </c>
      <c r="C262" s="1" t="s">
        <v>113</v>
      </c>
      <c r="D262" s="1" t="s">
        <v>114</v>
      </c>
      <c r="E262" s="1" t="s">
        <v>99</v>
      </c>
      <c r="F262" s="1" t="s">
        <v>128</v>
      </c>
      <c r="G262" s="1" t="s">
        <v>101</v>
      </c>
      <c r="H262" s="15">
        <v>1</v>
      </c>
      <c r="I262" s="16">
        <v>18.899999999999999</v>
      </c>
      <c r="J262" s="17">
        <v>0.05</v>
      </c>
      <c r="K262" s="18">
        <f t="shared" si="12"/>
        <v>18.899999999999999</v>
      </c>
      <c r="L262" s="18">
        <f t="shared" si="13"/>
        <v>0.94499999999999995</v>
      </c>
      <c r="M262" s="18">
        <f t="shared" si="14"/>
        <v>17.954999999999998</v>
      </c>
      <c r="N262" s="24" t="e">
        <f>VLOOKUP(Vendas[[#This Row],[Mes2]],Planilha1!$J:$K,2,FALSE)</f>
        <v>#N/A</v>
      </c>
      <c r="O262" s="26" t="s">
        <v>492</v>
      </c>
    </row>
    <row r="263" spans="1:15">
      <c r="A263" s="13" t="s">
        <v>363</v>
      </c>
      <c r="B263" s="14">
        <v>45914</v>
      </c>
      <c r="C263" s="1" t="s">
        <v>123</v>
      </c>
      <c r="D263" s="1" t="s">
        <v>114</v>
      </c>
      <c r="E263" s="1" t="s">
        <v>105</v>
      </c>
      <c r="F263" s="1" t="s">
        <v>100</v>
      </c>
      <c r="G263" s="1" t="s">
        <v>116</v>
      </c>
      <c r="H263" s="15">
        <v>1</v>
      </c>
      <c r="I263" s="16">
        <v>74.900000000000006</v>
      </c>
      <c r="J263" s="17">
        <v>0.1</v>
      </c>
      <c r="K263" s="18">
        <f t="shared" si="12"/>
        <v>74.900000000000006</v>
      </c>
      <c r="L263" s="18">
        <f t="shared" si="13"/>
        <v>7.4900000000000011</v>
      </c>
      <c r="M263" s="18">
        <f t="shared" si="14"/>
        <v>67.410000000000011</v>
      </c>
      <c r="N263" s="24" t="e">
        <f>VLOOKUP(Vendas[[#This Row],[Mes2]],Planilha1!$J:$K,2,FALSE)</f>
        <v>#N/A</v>
      </c>
      <c r="O263" s="26" t="s">
        <v>492</v>
      </c>
    </row>
    <row r="264" spans="1:15">
      <c r="A264" s="13" t="s">
        <v>379</v>
      </c>
      <c r="B264" s="14">
        <v>45915</v>
      </c>
      <c r="C264" s="1" t="s">
        <v>123</v>
      </c>
      <c r="D264" s="1" t="s">
        <v>114</v>
      </c>
      <c r="E264" s="1" t="s">
        <v>99</v>
      </c>
      <c r="F264" s="1" t="s">
        <v>106</v>
      </c>
      <c r="G264" s="1" t="s">
        <v>101</v>
      </c>
      <c r="H264" s="15">
        <v>1</v>
      </c>
      <c r="I264" s="16">
        <v>74.900000000000006</v>
      </c>
      <c r="J264" s="17">
        <v>0.05</v>
      </c>
      <c r="K264" s="18">
        <f t="shared" si="12"/>
        <v>74.900000000000006</v>
      </c>
      <c r="L264" s="18">
        <f t="shared" si="13"/>
        <v>3.7450000000000006</v>
      </c>
      <c r="M264" s="18">
        <f t="shared" si="14"/>
        <v>71.155000000000001</v>
      </c>
      <c r="N264" s="24" t="e">
        <f>VLOOKUP(Vendas[[#This Row],[Mes2]],Planilha1!$J:$K,2,FALSE)</f>
        <v>#N/A</v>
      </c>
      <c r="O264" s="26" t="s">
        <v>492</v>
      </c>
    </row>
    <row r="265" spans="1:15">
      <c r="A265" s="13" t="s">
        <v>371</v>
      </c>
      <c r="B265" s="14">
        <v>45917</v>
      </c>
      <c r="C265" s="1" t="s">
        <v>113</v>
      </c>
      <c r="D265" s="1" t="s">
        <v>114</v>
      </c>
      <c r="E265" s="1" t="s">
        <v>99</v>
      </c>
      <c r="F265" s="1" t="s">
        <v>100</v>
      </c>
      <c r="G265" s="1" t="s">
        <v>107</v>
      </c>
      <c r="H265" s="15">
        <v>3</v>
      </c>
      <c r="I265" s="16">
        <v>18.899999999999999</v>
      </c>
      <c r="J265" s="17">
        <v>0.1</v>
      </c>
      <c r="K265" s="18">
        <f t="shared" si="12"/>
        <v>56.699999999999996</v>
      </c>
      <c r="L265" s="18">
        <f t="shared" si="13"/>
        <v>5.67</v>
      </c>
      <c r="M265" s="18">
        <f t="shared" si="14"/>
        <v>51.029999999999994</v>
      </c>
      <c r="N265" s="24" t="e">
        <f>VLOOKUP(Vendas[[#This Row],[Mes2]],Planilha1!$J:$K,2,FALSE)</f>
        <v>#N/A</v>
      </c>
      <c r="O265" s="26" t="s">
        <v>492</v>
      </c>
    </row>
    <row r="266" spans="1:15">
      <c r="A266" s="13" t="s">
        <v>365</v>
      </c>
      <c r="B266" s="14">
        <v>45918</v>
      </c>
      <c r="C266" s="1" t="s">
        <v>123</v>
      </c>
      <c r="D266" s="1" t="s">
        <v>114</v>
      </c>
      <c r="E266" s="1" t="s">
        <v>99</v>
      </c>
      <c r="F266" s="1" t="s">
        <v>100</v>
      </c>
      <c r="G266" s="1" t="s">
        <v>116</v>
      </c>
      <c r="H266" s="15">
        <v>3</v>
      </c>
      <c r="I266" s="16">
        <v>74.900000000000006</v>
      </c>
      <c r="J266" s="17">
        <v>0.1</v>
      </c>
      <c r="K266" s="18">
        <f t="shared" si="12"/>
        <v>224.70000000000002</v>
      </c>
      <c r="L266" s="18">
        <f t="shared" si="13"/>
        <v>22.470000000000002</v>
      </c>
      <c r="M266" s="18">
        <f t="shared" si="14"/>
        <v>202.23000000000002</v>
      </c>
      <c r="N266" s="24" t="e">
        <f>VLOOKUP(Vendas[[#This Row],[Mes2]],Planilha1!$J:$K,2,FALSE)</f>
        <v>#N/A</v>
      </c>
      <c r="O266" s="26" t="s">
        <v>492</v>
      </c>
    </row>
    <row r="267" spans="1:15">
      <c r="A267" s="13" t="s">
        <v>372</v>
      </c>
      <c r="B267" s="14">
        <v>45918</v>
      </c>
      <c r="C267" s="1" t="s">
        <v>113</v>
      </c>
      <c r="D267" s="1" t="s">
        <v>114</v>
      </c>
      <c r="E267" s="1" t="s">
        <v>105</v>
      </c>
      <c r="F267" s="1" t="s">
        <v>100</v>
      </c>
      <c r="G267" s="1" t="s">
        <v>116</v>
      </c>
      <c r="H267" s="15">
        <v>1</v>
      </c>
      <c r="I267" s="16">
        <v>18.899999999999999</v>
      </c>
      <c r="J267" s="17">
        <v>0.05</v>
      </c>
      <c r="K267" s="18">
        <f t="shared" si="12"/>
        <v>18.899999999999999</v>
      </c>
      <c r="L267" s="18">
        <f t="shared" si="13"/>
        <v>0.94499999999999995</v>
      </c>
      <c r="M267" s="18">
        <f t="shared" si="14"/>
        <v>17.954999999999998</v>
      </c>
      <c r="N267" s="24" t="e">
        <f>VLOOKUP(Vendas[[#This Row],[Mes2]],Planilha1!$J:$K,2,FALSE)</f>
        <v>#N/A</v>
      </c>
      <c r="O267" s="26" t="s">
        <v>492</v>
      </c>
    </row>
    <row r="268" spans="1:15">
      <c r="A268" s="13" t="s">
        <v>377</v>
      </c>
      <c r="B268" s="14">
        <v>45922</v>
      </c>
      <c r="C268" s="1" t="s">
        <v>103</v>
      </c>
      <c r="D268" s="1" t="s">
        <v>104</v>
      </c>
      <c r="E268" s="1" t="s">
        <v>99</v>
      </c>
      <c r="F268" s="1" t="s">
        <v>106</v>
      </c>
      <c r="G268" s="1" t="s">
        <v>107</v>
      </c>
      <c r="H268" s="15">
        <v>3</v>
      </c>
      <c r="I268" s="16">
        <v>39.9</v>
      </c>
      <c r="J268" s="17">
        <v>0.1</v>
      </c>
      <c r="K268" s="18">
        <f t="shared" si="12"/>
        <v>119.69999999999999</v>
      </c>
      <c r="L268" s="18">
        <f t="shared" si="13"/>
        <v>11.969999999999999</v>
      </c>
      <c r="M268" s="18">
        <f t="shared" si="14"/>
        <v>107.72999999999999</v>
      </c>
      <c r="N268" s="24" t="e">
        <f>VLOOKUP(Vendas[[#This Row],[Mes2]],Planilha1!$J:$K,2,FALSE)</f>
        <v>#N/A</v>
      </c>
      <c r="O268" s="26" t="s">
        <v>492</v>
      </c>
    </row>
    <row r="269" spans="1:15">
      <c r="A269" s="13" t="s">
        <v>378</v>
      </c>
      <c r="B269" s="14">
        <v>45922</v>
      </c>
      <c r="C269" s="1" t="s">
        <v>123</v>
      </c>
      <c r="D269" s="1" t="s">
        <v>114</v>
      </c>
      <c r="E269" s="1" t="s">
        <v>115</v>
      </c>
      <c r="F269" s="1" t="s">
        <v>106</v>
      </c>
      <c r="G269" s="1" t="s">
        <v>101</v>
      </c>
      <c r="H269" s="15">
        <v>3</v>
      </c>
      <c r="I269" s="16">
        <v>74.900000000000006</v>
      </c>
      <c r="J269" s="17">
        <v>0</v>
      </c>
      <c r="K269" s="18">
        <f t="shared" si="12"/>
        <v>224.70000000000002</v>
      </c>
      <c r="L269" s="18">
        <f t="shared" si="13"/>
        <v>0</v>
      </c>
      <c r="M269" s="18">
        <f t="shared" si="14"/>
        <v>224.70000000000002</v>
      </c>
      <c r="N269" s="24" t="e">
        <f>VLOOKUP(Vendas[[#This Row],[Mes2]],Planilha1!$J:$K,2,FALSE)</f>
        <v>#N/A</v>
      </c>
      <c r="O269" s="26" t="s">
        <v>492</v>
      </c>
    </row>
    <row r="270" spans="1:15">
      <c r="A270" s="13" t="s">
        <v>364</v>
      </c>
      <c r="B270" s="14">
        <v>45924</v>
      </c>
      <c r="C270" s="1" t="s">
        <v>134</v>
      </c>
      <c r="D270" s="1" t="s">
        <v>104</v>
      </c>
      <c r="E270" s="1" t="s">
        <v>115</v>
      </c>
      <c r="F270" s="1" t="s">
        <v>100</v>
      </c>
      <c r="G270" s="1" t="s">
        <v>116</v>
      </c>
      <c r="H270" s="15">
        <v>1</v>
      </c>
      <c r="I270" s="16">
        <v>79.900000000000006</v>
      </c>
      <c r="J270" s="17">
        <v>0</v>
      </c>
      <c r="K270" s="18">
        <f t="shared" si="12"/>
        <v>79.900000000000006</v>
      </c>
      <c r="L270" s="18">
        <f t="shared" si="13"/>
        <v>0</v>
      </c>
      <c r="M270" s="18">
        <f t="shared" si="14"/>
        <v>79.900000000000006</v>
      </c>
      <c r="N270" s="24" t="e">
        <f>VLOOKUP(Vendas[[#This Row],[Mes2]],Planilha1!$J:$K,2,FALSE)</f>
        <v>#N/A</v>
      </c>
      <c r="O270" s="26" t="s">
        <v>492</v>
      </c>
    </row>
    <row r="271" spans="1:15">
      <c r="A271" s="13" t="s">
        <v>367</v>
      </c>
      <c r="B271" s="14">
        <v>45925</v>
      </c>
      <c r="C271" s="1" t="s">
        <v>113</v>
      </c>
      <c r="D271" s="1" t="s">
        <v>114</v>
      </c>
      <c r="E271" s="1" t="s">
        <v>99</v>
      </c>
      <c r="F271" s="1" t="s">
        <v>100</v>
      </c>
      <c r="G271" s="1" t="s">
        <v>101</v>
      </c>
      <c r="H271" s="15">
        <v>3</v>
      </c>
      <c r="I271" s="16">
        <v>18.899999999999999</v>
      </c>
      <c r="J271" s="17">
        <v>0</v>
      </c>
      <c r="K271" s="18">
        <f t="shared" si="12"/>
        <v>56.699999999999996</v>
      </c>
      <c r="L271" s="18">
        <f t="shared" si="13"/>
        <v>0</v>
      </c>
      <c r="M271" s="18">
        <f t="shared" si="14"/>
        <v>56.699999999999996</v>
      </c>
      <c r="N271" s="24" t="e">
        <f>VLOOKUP(Vendas[[#This Row],[Mes2]],Planilha1!$J:$K,2,FALSE)</f>
        <v>#N/A</v>
      </c>
      <c r="O271" s="26" t="s">
        <v>492</v>
      </c>
    </row>
    <row r="272" spans="1:15">
      <c r="A272" s="13" t="s">
        <v>375</v>
      </c>
      <c r="B272" s="14">
        <v>45925</v>
      </c>
      <c r="C272" s="1" t="s">
        <v>103</v>
      </c>
      <c r="D272" s="1" t="s">
        <v>104</v>
      </c>
      <c r="E272" s="1" t="s">
        <v>105</v>
      </c>
      <c r="F272" s="1" t="s">
        <v>100</v>
      </c>
      <c r="G272" s="1" t="s">
        <v>107</v>
      </c>
      <c r="H272" s="15">
        <v>1</v>
      </c>
      <c r="I272" s="16">
        <v>39.9</v>
      </c>
      <c r="J272" s="17">
        <v>0.1</v>
      </c>
      <c r="K272" s="18">
        <f t="shared" si="12"/>
        <v>39.9</v>
      </c>
      <c r="L272" s="18">
        <f t="shared" si="13"/>
        <v>3.99</v>
      </c>
      <c r="M272" s="18">
        <f t="shared" si="14"/>
        <v>35.909999999999997</v>
      </c>
      <c r="N272" s="24" t="e">
        <f>VLOOKUP(Vendas[[#This Row],[Mes2]],Planilha1!$J:$K,2,FALSE)</f>
        <v>#N/A</v>
      </c>
      <c r="O272" s="26" t="s">
        <v>492</v>
      </c>
    </row>
    <row r="273" spans="1:15">
      <c r="A273" s="13" t="s">
        <v>366</v>
      </c>
      <c r="B273" s="14">
        <v>45926</v>
      </c>
      <c r="C273" s="1" t="s">
        <v>103</v>
      </c>
      <c r="D273" s="1" t="s">
        <v>104</v>
      </c>
      <c r="E273" s="1" t="s">
        <v>109</v>
      </c>
      <c r="F273" s="1" t="s">
        <v>128</v>
      </c>
      <c r="G273" s="1" t="s">
        <v>101</v>
      </c>
      <c r="H273" s="15">
        <v>2</v>
      </c>
      <c r="I273" s="16">
        <v>39.9</v>
      </c>
      <c r="J273" s="17">
        <v>0.05</v>
      </c>
      <c r="K273" s="18">
        <f t="shared" si="12"/>
        <v>79.8</v>
      </c>
      <c r="L273" s="18">
        <f t="shared" si="13"/>
        <v>3.99</v>
      </c>
      <c r="M273" s="18">
        <f t="shared" si="14"/>
        <v>75.81</v>
      </c>
      <c r="N273" s="24" t="e">
        <f>VLOOKUP(Vendas[[#This Row],[Mes2]],Planilha1!$J:$K,2,FALSE)</f>
        <v>#N/A</v>
      </c>
      <c r="O273" s="26" t="s">
        <v>492</v>
      </c>
    </row>
    <row r="274" spans="1:15">
      <c r="A274" s="13" t="s">
        <v>385</v>
      </c>
      <c r="B274" s="14">
        <v>45927</v>
      </c>
      <c r="C274" s="1" t="s">
        <v>103</v>
      </c>
      <c r="D274" s="1" t="s">
        <v>104</v>
      </c>
      <c r="E274" s="1" t="s">
        <v>126</v>
      </c>
      <c r="F274" s="1" t="s">
        <v>106</v>
      </c>
      <c r="G274" s="1" t="s">
        <v>107</v>
      </c>
      <c r="H274" s="15">
        <v>1</v>
      </c>
      <c r="I274" s="16">
        <v>39.9</v>
      </c>
      <c r="J274" s="17">
        <v>0</v>
      </c>
      <c r="K274" s="18">
        <f t="shared" si="12"/>
        <v>39.9</v>
      </c>
      <c r="L274" s="18">
        <f t="shared" si="13"/>
        <v>0</v>
      </c>
      <c r="M274" s="18">
        <f t="shared" si="14"/>
        <v>39.9</v>
      </c>
      <c r="N274" s="24" t="e">
        <f>VLOOKUP(Vendas[[#This Row],[Mes2]],Planilha1!$J:$K,2,FALSE)</f>
        <v>#N/A</v>
      </c>
      <c r="O274" s="26" t="s">
        <v>492</v>
      </c>
    </row>
    <row r="275" spans="1:15">
      <c r="A275" s="13" t="s">
        <v>392</v>
      </c>
      <c r="B275" s="14">
        <v>45931</v>
      </c>
      <c r="C275" s="1" t="s">
        <v>118</v>
      </c>
      <c r="D275" s="1" t="s">
        <v>98</v>
      </c>
      <c r="E275" s="1" t="s">
        <v>99</v>
      </c>
      <c r="F275" s="1" t="s">
        <v>106</v>
      </c>
      <c r="G275" s="1" t="s">
        <v>116</v>
      </c>
      <c r="H275" s="15">
        <v>2</v>
      </c>
      <c r="I275" s="16">
        <v>89.9</v>
      </c>
      <c r="J275" s="17">
        <v>0.1</v>
      </c>
      <c r="K275" s="18">
        <f t="shared" si="12"/>
        <v>179.8</v>
      </c>
      <c r="L275" s="18">
        <f t="shared" si="13"/>
        <v>17.98</v>
      </c>
      <c r="M275" s="18">
        <f t="shared" si="14"/>
        <v>161.82000000000002</v>
      </c>
      <c r="N275" s="24" t="e">
        <f>VLOOKUP(Vendas[[#This Row],[Mes2]],Planilha1!$J:$K,2,FALSE)</f>
        <v>#N/A</v>
      </c>
      <c r="O275" s="26" t="s">
        <v>482</v>
      </c>
    </row>
    <row r="276" spans="1:15">
      <c r="A276" s="13" t="s">
        <v>406</v>
      </c>
      <c r="B276" s="14">
        <v>45931</v>
      </c>
      <c r="C276" s="1" t="s">
        <v>111</v>
      </c>
      <c r="D276" s="1" t="s">
        <v>104</v>
      </c>
      <c r="E276" s="1" t="s">
        <v>115</v>
      </c>
      <c r="F276" s="1" t="s">
        <v>128</v>
      </c>
      <c r="G276" s="1" t="s">
        <v>116</v>
      </c>
      <c r="H276" s="15">
        <v>1</v>
      </c>
      <c r="I276" s="16">
        <v>28.9</v>
      </c>
      <c r="J276" s="17">
        <v>0.15</v>
      </c>
      <c r="K276" s="18">
        <f t="shared" si="12"/>
        <v>28.9</v>
      </c>
      <c r="L276" s="18">
        <f t="shared" si="13"/>
        <v>4.335</v>
      </c>
      <c r="M276" s="18">
        <f t="shared" si="14"/>
        <v>24.564999999999998</v>
      </c>
      <c r="N276" s="24" t="e">
        <f>VLOOKUP(Vendas[[#This Row],[Mes2]],Planilha1!$J:$K,2,FALSE)</f>
        <v>#N/A</v>
      </c>
      <c r="O276" s="26" t="s">
        <v>482</v>
      </c>
    </row>
    <row r="277" spans="1:15">
      <c r="A277" s="13" t="s">
        <v>410</v>
      </c>
      <c r="B277" s="14">
        <v>45931</v>
      </c>
      <c r="C277" s="1" t="s">
        <v>97</v>
      </c>
      <c r="D277" s="1" t="s">
        <v>98</v>
      </c>
      <c r="E277" s="1" t="s">
        <v>109</v>
      </c>
      <c r="F277" s="1" t="s">
        <v>106</v>
      </c>
      <c r="G277" s="1" t="s">
        <v>101</v>
      </c>
      <c r="H277" s="15">
        <v>3</v>
      </c>
      <c r="I277" s="16">
        <v>34.9</v>
      </c>
      <c r="J277" s="17">
        <v>0.05</v>
      </c>
      <c r="K277" s="18">
        <f t="shared" si="12"/>
        <v>104.69999999999999</v>
      </c>
      <c r="L277" s="18">
        <f t="shared" si="13"/>
        <v>5.2349999999999994</v>
      </c>
      <c r="M277" s="18">
        <f t="shared" si="14"/>
        <v>99.464999999999989</v>
      </c>
      <c r="N277" s="24" t="e">
        <f>VLOOKUP(Vendas[[#This Row],[Mes2]],Planilha1!$J:$K,2,FALSE)</f>
        <v>#N/A</v>
      </c>
      <c r="O277" s="26" t="s">
        <v>482</v>
      </c>
    </row>
    <row r="278" spans="1:15">
      <c r="A278" s="13" t="s">
        <v>395</v>
      </c>
      <c r="B278" s="14">
        <v>45932</v>
      </c>
      <c r="C278" s="1" t="s">
        <v>111</v>
      </c>
      <c r="D278" s="1" t="s">
        <v>104</v>
      </c>
      <c r="E278" s="1" t="s">
        <v>99</v>
      </c>
      <c r="F278" s="1" t="s">
        <v>106</v>
      </c>
      <c r="G278" s="1" t="s">
        <v>101</v>
      </c>
      <c r="H278" s="15">
        <v>2</v>
      </c>
      <c r="I278" s="16">
        <v>28.9</v>
      </c>
      <c r="J278" s="17">
        <v>0</v>
      </c>
      <c r="K278" s="18">
        <f t="shared" si="12"/>
        <v>57.8</v>
      </c>
      <c r="L278" s="18">
        <f t="shared" si="13"/>
        <v>0</v>
      </c>
      <c r="M278" s="18">
        <f t="shared" si="14"/>
        <v>57.8</v>
      </c>
      <c r="N278" s="24" t="e">
        <f>VLOOKUP(Vendas[[#This Row],[Mes2]],Planilha1!$J:$K,2,FALSE)</f>
        <v>#N/A</v>
      </c>
      <c r="O278" s="26" t="s">
        <v>482</v>
      </c>
    </row>
    <row r="279" spans="1:15">
      <c r="A279" s="13" t="s">
        <v>413</v>
      </c>
      <c r="B279" s="14">
        <v>45932</v>
      </c>
      <c r="C279" s="1" t="s">
        <v>118</v>
      </c>
      <c r="D279" s="1" t="s">
        <v>98</v>
      </c>
      <c r="E279" s="1" t="s">
        <v>115</v>
      </c>
      <c r="F279" s="1" t="s">
        <v>128</v>
      </c>
      <c r="G279" s="1" t="s">
        <v>116</v>
      </c>
      <c r="H279" s="15">
        <v>1</v>
      </c>
      <c r="I279" s="16">
        <v>89.9</v>
      </c>
      <c r="J279" s="17">
        <v>0.1</v>
      </c>
      <c r="K279" s="18">
        <f t="shared" si="12"/>
        <v>89.9</v>
      </c>
      <c r="L279" s="18">
        <f t="shared" si="13"/>
        <v>8.99</v>
      </c>
      <c r="M279" s="18">
        <f t="shared" si="14"/>
        <v>80.910000000000011</v>
      </c>
      <c r="N279" s="24" t="e">
        <f>VLOOKUP(Vendas[[#This Row],[Mes2]],Planilha1!$J:$K,2,FALSE)</f>
        <v>#N/A</v>
      </c>
      <c r="O279" s="26" t="s">
        <v>482</v>
      </c>
    </row>
    <row r="280" spans="1:15">
      <c r="A280" s="13" t="s">
        <v>407</v>
      </c>
      <c r="B280" s="14">
        <v>45933</v>
      </c>
      <c r="C280" s="1" t="s">
        <v>134</v>
      </c>
      <c r="D280" s="1" t="s">
        <v>104</v>
      </c>
      <c r="E280" s="1" t="s">
        <v>99</v>
      </c>
      <c r="F280" s="1" t="s">
        <v>100</v>
      </c>
      <c r="G280" s="1" t="s">
        <v>101</v>
      </c>
      <c r="H280" s="15">
        <v>1</v>
      </c>
      <c r="I280" s="16">
        <v>79.900000000000006</v>
      </c>
      <c r="J280" s="17">
        <v>0</v>
      </c>
      <c r="K280" s="18">
        <f t="shared" si="12"/>
        <v>79.900000000000006</v>
      </c>
      <c r="L280" s="18">
        <f t="shared" si="13"/>
        <v>0</v>
      </c>
      <c r="M280" s="18">
        <f t="shared" si="14"/>
        <v>79.900000000000006</v>
      </c>
      <c r="N280" s="24" t="e">
        <f>VLOOKUP(Vendas[[#This Row],[Mes2]],Planilha1!$J:$K,2,FALSE)</f>
        <v>#N/A</v>
      </c>
      <c r="O280" s="26" t="s">
        <v>482</v>
      </c>
    </row>
    <row r="281" spans="1:15">
      <c r="A281" s="13" t="s">
        <v>415</v>
      </c>
      <c r="B281" s="14">
        <v>45935</v>
      </c>
      <c r="C281" s="1" t="s">
        <v>111</v>
      </c>
      <c r="D281" s="1" t="s">
        <v>104</v>
      </c>
      <c r="E281" s="1" t="s">
        <v>126</v>
      </c>
      <c r="F281" s="1" t="s">
        <v>100</v>
      </c>
      <c r="G281" s="1" t="s">
        <v>101</v>
      </c>
      <c r="H281" s="15">
        <v>2</v>
      </c>
      <c r="I281" s="16">
        <v>28.9</v>
      </c>
      <c r="J281" s="17">
        <v>0</v>
      </c>
      <c r="K281" s="18">
        <f t="shared" si="12"/>
        <v>57.8</v>
      </c>
      <c r="L281" s="18">
        <f t="shared" si="13"/>
        <v>0</v>
      </c>
      <c r="M281" s="18">
        <f t="shared" si="14"/>
        <v>57.8</v>
      </c>
      <c r="N281" s="24" t="e">
        <f>VLOOKUP(Vendas[[#This Row],[Mes2]],Planilha1!$J:$K,2,FALSE)</f>
        <v>#N/A</v>
      </c>
      <c r="O281" s="26" t="s">
        <v>482</v>
      </c>
    </row>
    <row r="282" spans="1:15">
      <c r="A282" s="13" t="s">
        <v>417</v>
      </c>
      <c r="B282" s="14">
        <v>45936</v>
      </c>
      <c r="C282" s="1" t="s">
        <v>103</v>
      </c>
      <c r="D282" s="1" t="s">
        <v>104</v>
      </c>
      <c r="E282" s="1" t="s">
        <v>99</v>
      </c>
      <c r="F282" s="1" t="s">
        <v>106</v>
      </c>
      <c r="G282" s="1" t="s">
        <v>143</v>
      </c>
      <c r="H282" s="15">
        <v>3</v>
      </c>
      <c r="I282" s="16">
        <v>39.9</v>
      </c>
      <c r="J282" s="17">
        <v>0.05</v>
      </c>
      <c r="K282" s="18">
        <f t="shared" si="12"/>
        <v>119.69999999999999</v>
      </c>
      <c r="L282" s="18">
        <f t="shared" si="13"/>
        <v>5.9849999999999994</v>
      </c>
      <c r="M282" s="18">
        <f t="shared" si="14"/>
        <v>113.71499999999999</v>
      </c>
      <c r="N282" s="24" t="e">
        <f>VLOOKUP(Vendas[[#This Row],[Mes2]],Planilha1!$J:$K,2,FALSE)</f>
        <v>#N/A</v>
      </c>
      <c r="O282" s="26" t="s">
        <v>482</v>
      </c>
    </row>
    <row r="283" spans="1:15">
      <c r="A283" s="13" t="s">
        <v>409</v>
      </c>
      <c r="B283" s="14">
        <v>45937</v>
      </c>
      <c r="C283" s="1" t="s">
        <v>134</v>
      </c>
      <c r="D283" s="1" t="s">
        <v>104</v>
      </c>
      <c r="E283" s="1" t="s">
        <v>99</v>
      </c>
      <c r="F283" s="1" t="s">
        <v>100</v>
      </c>
      <c r="G283" s="1" t="s">
        <v>101</v>
      </c>
      <c r="H283" s="15">
        <v>1</v>
      </c>
      <c r="I283" s="16">
        <v>79.900000000000006</v>
      </c>
      <c r="J283" s="17">
        <v>0.05</v>
      </c>
      <c r="K283" s="18">
        <f t="shared" si="12"/>
        <v>79.900000000000006</v>
      </c>
      <c r="L283" s="18">
        <f t="shared" si="13"/>
        <v>3.9950000000000006</v>
      </c>
      <c r="M283" s="18">
        <f t="shared" si="14"/>
        <v>75.905000000000001</v>
      </c>
      <c r="N283" s="24" t="e">
        <f>VLOOKUP(Vendas[[#This Row],[Mes2]],Planilha1!$J:$K,2,FALSE)</f>
        <v>#N/A</v>
      </c>
      <c r="O283" s="26" t="s">
        <v>482</v>
      </c>
    </row>
    <row r="284" spans="1:15">
      <c r="A284" s="13" t="s">
        <v>391</v>
      </c>
      <c r="B284" s="14">
        <v>45938</v>
      </c>
      <c r="C284" s="1" t="s">
        <v>97</v>
      </c>
      <c r="D284" s="1" t="s">
        <v>98</v>
      </c>
      <c r="E284" s="1" t="s">
        <v>105</v>
      </c>
      <c r="F284" s="1" t="s">
        <v>128</v>
      </c>
      <c r="G284" s="1" t="s">
        <v>101</v>
      </c>
      <c r="H284" s="15">
        <v>3</v>
      </c>
      <c r="I284" s="16">
        <v>34.9</v>
      </c>
      <c r="J284" s="17">
        <v>0.15</v>
      </c>
      <c r="K284" s="18">
        <f t="shared" si="12"/>
        <v>104.69999999999999</v>
      </c>
      <c r="L284" s="18">
        <f t="shared" si="13"/>
        <v>15.704999999999998</v>
      </c>
      <c r="M284" s="18">
        <f t="shared" si="14"/>
        <v>88.99499999999999</v>
      </c>
      <c r="N284" s="24" t="e">
        <f>VLOOKUP(Vendas[[#This Row],[Mes2]],Planilha1!$J:$K,2,FALSE)</f>
        <v>#N/A</v>
      </c>
      <c r="O284" s="26" t="s">
        <v>482</v>
      </c>
    </row>
    <row r="285" spans="1:15">
      <c r="A285" s="13" t="s">
        <v>418</v>
      </c>
      <c r="B285" s="14">
        <v>45941</v>
      </c>
      <c r="C285" s="1" t="s">
        <v>121</v>
      </c>
      <c r="D285" s="1" t="s">
        <v>98</v>
      </c>
      <c r="E285" s="1" t="s">
        <v>109</v>
      </c>
      <c r="F285" s="1" t="s">
        <v>128</v>
      </c>
      <c r="G285" s="1" t="s">
        <v>116</v>
      </c>
      <c r="H285" s="15">
        <v>3</v>
      </c>
      <c r="I285" s="16">
        <v>12.9</v>
      </c>
      <c r="J285" s="17">
        <v>0.05</v>
      </c>
      <c r="K285" s="18">
        <f t="shared" si="12"/>
        <v>38.700000000000003</v>
      </c>
      <c r="L285" s="18">
        <f t="shared" si="13"/>
        <v>1.9350000000000003</v>
      </c>
      <c r="M285" s="18">
        <f t="shared" si="14"/>
        <v>36.765000000000001</v>
      </c>
      <c r="N285" s="24" t="e">
        <f>VLOOKUP(Vendas[[#This Row],[Mes2]],Planilha1!$J:$K,2,FALSE)</f>
        <v>#N/A</v>
      </c>
      <c r="O285" s="26" t="s">
        <v>482</v>
      </c>
    </row>
    <row r="286" spans="1:15">
      <c r="A286" s="13" t="s">
        <v>390</v>
      </c>
      <c r="B286" s="14">
        <v>45943</v>
      </c>
      <c r="C286" s="1" t="s">
        <v>103</v>
      </c>
      <c r="D286" s="1" t="s">
        <v>104</v>
      </c>
      <c r="E286" s="1" t="s">
        <v>126</v>
      </c>
      <c r="F286" s="1" t="s">
        <v>128</v>
      </c>
      <c r="G286" s="1" t="s">
        <v>101</v>
      </c>
      <c r="H286" s="15">
        <v>3</v>
      </c>
      <c r="I286" s="16">
        <v>39.9</v>
      </c>
      <c r="J286" s="17">
        <v>0.05</v>
      </c>
      <c r="K286" s="18">
        <f t="shared" si="12"/>
        <v>119.69999999999999</v>
      </c>
      <c r="L286" s="18">
        <f t="shared" si="13"/>
        <v>5.9849999999999994</v>
      </c>
      <c r="M286" s="18">
        <f t="shared" si="14"/>
        <v>113.71499999999999</v>
      </c>
      <c r="N286" s="24" t="e">
        <f>VLOOKUP(Vendas[[#This Row],[Mes2]],Planilha1!$J:$K,2,FALSE)</f>
        <v>#N/A</v>
      </c>
      <c r="O286" s="26" t="s">
        <v>482</v>
      </c>
    </row>
    <row r="287" spans="1:15">
      <c r="A287" s="13" t="s">
        <v>393</v>
      </c>
      <c r="B287" s="14">
        <v>45943</v>
      </c>
      <c r="C287" s="1" t="s">
        <v>103</v>
      </c>
      <c r="D287" s="1" t="s">
        <v>104</v>
      </c>
      <c r="E287" s="1" t="s">
        <v>99</v>
      </c>
      <c r="F287" s="1" t="s">
        <v>106</v>
      </c>
      <c r="G287" s="1" t="s">
        <v>116</v>
      </c>
      <c r="H287" s="15">
        <v>3</v>
      </c>
      <c r="I287" s="16">
        <v>39.9</v>
      </c>
      <c r="J287" s="17">
        <v>0.05</v>
      </c>
      <c r="K287" s="18">
        <f t="shared" si="12"/>
        <v>119.69999999999999</v>
      </c>
      <c r="L287" s="18">
        <f t="shared" si="13"/>
        <v>5.9849999999999994</v>
      </c>
      <c r="M287" s="18">
        <f t="shared" si="14"/>
        <v>113.71499999999999</v>
      </c>
      <c r="N287" s="24" t="e">
        <f>VLOOKUP(Vendas[[#This Row],[Mes2]],Planilha1!$J:$K,2,FALSE)</f>
        <v>#N/A</v>
      </c>
      <c r="O287" s="26" t="s">
        <v>482</v>
      </c>
    </row>
    <row r="288" spans="1:15">
      <c r="A288" s="13" t="s">
        <v>411</v>
      </c>
      <c r="B288" s="14">
        <v>45945</v>
      </c>
      <c r="C288" s="1" t="s">
        <v>121</v>
      </c>
      <c r="D288" s="1" t="s">
        <v>98</v>
      </c>
      <c r="E288" s="1" t="s">
        <v>115</v>
      </c>
      <c r="F288" s="1" t="s">
        <v>100</v>
      </c>
      <c r="G288" s="1" t="s">
        <v>101</v>
      </c>
      <c r="H288" s="15">
        <v>2</v>
      </c>
      <c r="I288" s="16">
        <v>12.9</v>
      </c>
      <c r="J288" s="17">
        <v>0.1</v>
      </c>
      <c r="K288" s="18">
        <f t="shared" si="12"/>
        <v>25.8</v>
      </c>
      <c r="L288" s="18">
        <f t="shared" si="13"/>
        <v>2.58</v>
      </c>
      <c r="M288" s="18">
        <f t="shared" si="14"/>
        <v>23.22</v>
      </c>
      <c r="N288" s="24" t="e">
        <f>VLOOKUP(Vendas[[#This Row],[Mes2]],Planilha1!$J:$K,2,FALSE)</f>
        <v>#N/A</v>
      </c>
      <c r="O288" s="26" t="s">
        <v>482</v>
      </c>
    </row>
    <row r="289" spans="1:15">
      <c r="A289" s="13" t="s">
        <v>398</v>
      </c>
      <c r="B289" s="14">
        <v>45946</v>
      </c>
      <c r="C289" s="1" t="s">
        <v>103</v>
      </c>
      <c r="D289" s="1" t="s">
        <v>104</v>
      </c>
      <c r="E289" s="1" t="s">
        <v>109</v>
      </c>
      <c r="F289" s="1" t="s">
        <v>128</v>
      </c>
      <c r="G289" s="1" t="s">
        <v>143</v>
      </c>
      <c r="H289" s="15">
        <v>1</v>
      </c>
      <c r="I289" s="16">
        <v>39.9</v>
      </c>
      <c r="J289" s="17">
        <v>0.05</v>
      </c>
      <c r="K289" s="18">
        <f t="shared" si="12"/>
        <v>39.9</v>
      </c>
      <c r="L289" s="18">
        <f t="shared" si="13"/>
        <v>1.9950000000000001</v>
      </c>
      <c r="M289" s="18">
        <f t="shared" si="14"/>
        <v>37.905000000000001</v>
      </c>
      <c r="N289" s="24" t="e">
        <f>VLOOKUP(Vendas[[#This Row],[Mes2]],Planilha1!$J:$K,2,FALSE)</f>
        <v>#N/A</v>
      </c>
      <c r="O289" s="26" t="s">
        <v>482</v>
      </c>
    </row>
    <row r="290" spans="1:15">
      <c r="A290" s="13" t="s">
        <v>397</v>
      </c>
      <c r="B290" s="14">
        <v>45947</v>
      </c>
      <c r="C290" s="1" t="s">
        <v>111</v>
      </c>
      <c r="D290" s="1" t="s">
        <v>104</v>
      </c>
      <c r="E290" s="1" t="s">
        <v>99</v>
      </c>
      <c r="F290" s="1" t="s">
        <v>100</v>
      </c>
      <c r="G290" s="1" t="s">
        <v>107</v>
      </c>
      <c r="H290" s="15">
        <v>1</v>
      </c>
      <c r="I290" s="16">
        <v>28.9</v>
      </c>
      <c r="J290" s="17">
        <v>0.05</v>
      </c>
      <c r="K290" s="18">
        <f t="shared" si="12"/>
        <v>28.9</v>
      </c>
      <c r="L290" s="18">
        <f t="shared" si="13"/>
        <v>1.4450000000000001</v>
      </c>
      <c r="M290" s="18">
        <f t="shared" si="14"/>
        <v>27.454999999999998</v>
      </c>
      <c r="N290" s="24" t="e">
        <f>VLOOKUP(Vendas[[#This Row],[Mes2]],Planilha1!$J:$K,2,FALSE)</f>
        <v>#N/A</v>
      </c>
      <c r="O290" s="26" t="s">
        <v>482</v>
      </c>
    </row>
    <row r="291" spans="1:15">
      <c r="A291" s="13" t="s">
        <v>412</v>
      </c>
      <c r="B291" s="14">
        <v>45949</v>
      </c>
      <c r="C291" s="1" t="s">
        <v>103</v>
      </c>
      <c r="D291" s="1" t="s">
        <v>104</v>
      </c>
      <c r="E291" s="1" t="s">
        <v>99</v>
      </c>
      <c r="F291" s="1" t="s">
        <v>128</v>
      </c>
      <c r="G291" s="1" t="s">
        <v>101</v>
      </c>
      <c r="H291" s="15">
        <v>1</v>
      </c>
      <c r="I291" s="16">
        <v>39.9</v>
      </c>
      <c r="J291" s="17">
        <v>0</v>
      </c>
      <c r="K291" s="18">
        <f t="shared" si="12"/>
        <v>39.9</v>
      </c>
      <c r="L291" s="18">
        <f t="shared" si="13"/>
        <v>0</v>
      </c>
      <c r="M291" s="18">
        <f t="shared" si="14"/>
        <v>39.9</v>
      </c>
      <c r="N291" s="24" t="e">
        <f>VLOOKUP(Vendas[[#This Row],[Mes2]],Planilha1!$J:$K,2,FALSE)</f>
        <v>#N/A</v>
      </c>
      <c r="O291" s="26" t="s">
        <v>482</v>
      </c>
    </row>
    <row r="292" spans="1:15">
      <c r="A292" s="13" t="s">
        <v>405</v>
      </c>
      <c r="B292" s="14">
        <v>45950</v>
      </c>
      <c r="C292" s="1" t="s">
        <v>103</v>
      </c>
      <c r="D292" s="1" t="s">
        <v>104</v>
      </c>
      <c r="E292" s="1" t="s">
        <v>109</v>
      </c>
      <c r="F292" s="1" t="s">
        <v>106</v>
      </c>
      <c r="G292" s="1" t="s">
        <v>101</v>
      </c>
      <c r="H292" s="15">
        <v>3</v>
      </c>
      <c r="I292" s="16">
        <v>39.9</v>
      </c>
      <c r="J292" s="17">
        <v>0.1</v>
      </c>
      <c r="K292" s="18">
        <f t="shared" si="12"/>
        <v>119.69999999999999</v>
      </c>
      <c r="L292" s="18">
        <f t="shared" si="13"/>
        <v>11.969999999999999</v>
      </c>
      <c r="M292" s="18">
        <f t="shared" si="14"/>
        <v>107.72999999999999</v>
      </c>
      <c r="N292" s="24" t="e">
        <f>VLOOKUP(Vendas[[#This Row],[Mes2]],Planilha1!$J:$K,2,FALSE)</f>
        <v>#N/A</v>
      </c>
      <c r="O292" s="26" t="s">
        <v>482</v>
      </c>
    </row>
    <row r="293" spans="1:15">
      <c r="A293" s="13" t="s">
        <v>400</v>
      </c>
      <c r="B293" s="14">
        <v>45951</v>
      </c>
      <c r="C293" s="1" t="s">
        <v>134</v>
      </c>
      <c r="D293" s="1" t="s">
        <v>104</v>
      </c>
      <c r="E293" s="1" t="s">
        <v>115</v>
      </c>
      <c r="F293" s="1" t="s">
        <v>106</v>
      </c>
      <c r="G293" s="1" t="s">
        <v>116</v>
      </c>
      <c r="H293" s="15">
        <v>1</v>
      </c>
      <c r="I293" s="16">
        <v>79.900000000000006</v>
      </c>
      <c r="J293" s="17">
        <v>0.05</v>
      </c>
      <c r="K293" s="18">
        <f t="shared" si="12"/>
        <v>79.900000000000006</v>
      </c>
      <c r="L293" s="18">
        <f t="shared" si="13"/>
        <v>3.9950000000000006</v>
      </c>
      <c r="M293" s="18">
        <f t="shared" si="14"/>
        <v>75.905000000000001</v>
      </c>
      <c r="N293" s="24" t="e">
        <f>VLOOKUP(Vendas[[#This Row],[Mes2]],Planilha1!$J:$K,2,FALSE)</f>
        <v>#N/A</v>
      </c>
      <c r="O293" s="26" t="s">
        <v>482</v>
      </c>
    </row>
    <row r="294" spans="1:15">
      <c r="A294" s="13" t="s">
        <v>414</v>
      </c>
      <c r="B294" s="14">
        <v>45951</v>
      </c>
      <c r="C294" s="1" t="s">
        <v>121</v>
      </c>
      <c r="D294" s="1" t="s">
        <v>98</v>
      </c>
      <c r="E294" s="1" t="s">
        <v>109</v>
      </c>
      <c r="F294" s="1" t="s">
        <v>100</v>
      </c>
      <c r="G294" s="1" t="s">
        <v>107</v>
      </c>
      <c r="H294" s="15">
        <v>1</v>
      </c>
      <c r="I294" s="16">
        <v>12.9</v>
      </c>
      <c r="J294" s="17">
        <v>0.05</v>
      </c>
      <c r="K294" s="18">
        <f t="shared" si="12"/>
        <v>12.9</v>
      </c>
      <c r="L294" s="18">
        <f t="shared" si="13"/>
        <v>0.64500000000000002</v>
      </c>
      <c r="M294" s="18">
        <f t="shared" si="14"/>
        <v>12.255000000000001</v>
      </c>
      <c r="N294" s="24" t="e">
        <f>VLOOKUP(Vendas[[#This Row],[Mes2]],Planilha1!$J:$K,2,FALSE)</f>
        <v>#N/A</v>
      </c>
      <c r="O294" s="26" t="s">
        <v>482</v>
      </c>
    </row>
    <row r="295" spans="1:15">
      <c r="A295" s="13" t="s">
        <v>394</v>
      </c>
      <c r="B295" s="14">
        <v>45953</v>
      </c>
      <c r="C295" s="1" t="s">
        <v>113</v>
      </c>
      <c r="D295" s="1" t="s">
        <v>114</v>
      </c>
      <c r="E295" s="1" t="s">
        <v>115</v>
      </c>
      <c r="F295" s="1" t="s">
        <v>100</v>
      </c>
      <c r="G295" s="1" t="s">
        <v>143</v>
      </c>
      <c r="H295" s="15">
        <v>3</v>
      </c>
      <c r="I295" s="16">
        <v>18.899999999999999</v>
      </c>
      <c r="J295" s="17">
        <v>0</v>
      </c>
      <c r="K295" s="18">
        <f t="shared" si="12"/>
        <v>56.699999999999996</v>
      </c>
      <c r="L295" s="18">
        <f t="shared" si="13"/>
        <v>0</v>
      </c>
      <c r="M295" s="18">
        <f t="shared" si="14"/>
        <v>56.699999999999996</v>
      </c>
      <c r="N295" s="24" t="e">
        <f>VLOOKUP(Vendas[[#This Row],[Mes2]],Planilha1!$J:$K,2,FALSE)</f>
        <v>#N/A</v>
      </c>
      <c r="O295" s="26" t="s">
        <v>482</v>
      </c>
    </row>
    <row r="296" spans="1:15">
      <c r="A296" s="13" t="s">
        <v>401</v>
      </c>
      <c r="B296" s="14">
        <v>45954</v>
      </c>
      <c r="C296" s="1" t="s">
        <v>103</v>
      </c>
      <c r="D296" s="1" t="s">
        <v>104</v>
      </c>
      <c r="E296" s="1" t="s">
        <v>115</v>
      </c>
      <c r="F296" s="1" t="s">
        <v>106</v>
      </c>
      <c r="G296" s="1" t="s">
        <v>107</v>
      </c>
      <c r="H296" s="15">
        <v>1</v>
      </c>
      <c r="I296" s="16">
        <v>39.9</v>
      </c>
      <c r="J296" s="17">
        <v>0.05</v>
      </c>
      <c r="K296" s="18">
        <f t="shared" si="12"/>
        <v>39.9</v>
      </c>
      <c r="L296" s="18">
        <f t="shared" si="13"/>
        <v>1.9950000000000001</v>
      </c>
      <c r="M296" s="18">
        <f t="shared" si="14"/>
        <v>37.905000000000001</v>
      </c>
      <c r="N296" s="24" t="e">
        <f>VLOOKUP(Vendas[[#This Row],[Mes2]],Planilha1!$J:$K,2,FALSE)</f>
        <v>#N/A</v>
      </c>
      <c r="O296" s="26" t="s">
        <v>482</v>
      </c>
    </row>
    <row r="297" spans="1:15">
      <c r="A297" s="13" t="s">
        <v>403</v>
      </c>
      <c r="B297" s="14">
        <v>45955</v>
      </c>
      <c r="C297" s="1" t="s">
        <v>121</v>
      </c>
      <c r="D297" s="1" t="s">
        <v>98</v>
      </c>
      <c r="E297" s="1" t="s">
        <v>115</v>
      </c>
      <c r="F297" s="1" t="s">
        <v>100</v>
      </c>
      <c r="G297" s="1" t="s">
        <v>107</v>
      </c>
      <c r="H297" s="15">
        <v>3</v>
      </c>
      <c r="I297" s="16">
        <v>12.9</v>
      </c>
      <c r="J297" s="17">
        <v>0.05</v>
      </c>
      <c r="K297" s="18">
        <f t="shared" si="12"/>
        <v>38.700000000000003</v>
      </c>
      <c r="L297" s="18">
        <f t="shared" si="13"/>
        <v>1.9350000000000003</v>
      </c>
      <c r="M297" s="18">
        <f t="shared" si="14"/>
        <v>36.765000000000001</v>
      </c>
      <c r="N297" s="24" t="e">
        <f>VLOOKUP(Vendas[[#This Row],[Mes2]],Planilha1!$J:$K,2,FALSE)</f>
        <v>#N/A</v>
      </c>
      <c r="O297" s="26" t="s">
        <v>482</v>
      </c>
    </row>
    <row r="298" spans="1:15">
      <c r="A298" s="13" t="s">
        <v>416</v>
      </c>
      <c r="B298" s="14">
        <v>45957</v>
      </c>
      <c r="C298" s="1" t="s">
        <v>134</v>
      </c>
      <c r="D298" s="1" t="s">
        <v>104</v>
      </c>
      <c r="E298" s="1" t="s">
        <v>99</v>
      </c>
      <c r="F298" s="1" t="s">
        <v>100</v>
      </c>
      <c r="G298" s="1" t="s">
        <v>107</v>
      </c>
      <c r="H298" s="15">
        <v>1</v>
      </c>
      <c r="I298" s="16">
        <v>79.900000000000006</v>
      </c>
      <c r="J298" s="17">
        <v>0.15</v>
      </c>
      <c r="K298" s="18">
        <f t="shared" si="12"/>
        <v>79.900000000000006</v>
      </c>
      <c r="L298" s="18">
        <f t="shared" si="13"/>
        <v>11.985000000000001</v>
      </c>
      <c r="M298" s="18">
        <f t="shared" si="14"/>
        <v>67.915000000000006</v>
      </c>
      <c r="N298" s="24" t="e">
        <f>VLOOKUP(Vendas[[#This Row],[Mes2]],Planilha1!$J:$K,2,FALSE)</f>
        <v>#N/A</v>
      </c>
      <c r="O298" s="26" t="s">
        <v>482</v>
      </c>
    </row>
    <row r="299" spans="1:15">
      <c r="A299" s="13" t="s">
        <v>399</v>
      </c>
      <c r="B299" s="14">
        <v>45958</v>
      </c>
      <c r="C299" s="1" t="s">
        <v>134</v>
      </c>
      <c r="D299" s="1" t="s">
        <v>104</v>
      </c>
      <c r="E299" s="1" t="s">
        <v>105</v>
      </c>
      <c r="F299" s="1" t="s">
        <v>100</v>
      </c>
      <c r="G299" s="1" t="s">
        <v>101</v>
      </c>
      <c r="H299" s="15">
        <v>1</v>
      </c>
      <c r="I299" s="16">
        <v>79.900000000000006</v>
      </c>
      <c r="J299" s="17">
        <v>0</v>
      </c>
      <c r="K299" s="18">
        <f t="shared" si="12"/>
        <v>79.900000000000006</v>
      </c>
      <c r="L299" s="18">
        <f t="shared" si="13"/>
        <v>0</v>
      </c>
      <c r="M299" s="18">
        <f t="shared" si="14"/>
        <v>79.900000000000006</v>
      </c>
      <c r="N299" s="24" t="e">
        <f>VLOOKUP(Vendas[[#This Row],[Mes2]],Planilha1!$J:$K,2,FALSE)</f>
        <v>#N/A</v>
      </c>
      <c r="O299" s="26" t="s">
        <v>482</v>
      </c>
    </row>
    <row r="300" spans="1:15">
      <c r="A300" s="13" t="s">
        <v>389</v>
      </c>
      <c r="B300" s="14">
        <v>45959</v>
      </c>
      <c r="C300" s="1" t="s">
        <v>113</v>
      </c>
      <c r="D300" s="1" t="s">
        <v>114</v>
      </c>
      <c r="E300" s="1" t="s">
        <v>99</v>
      </c>
      <c r="F300" s="1" t="s">
        <v>106</v>
      </c>
      <c r="G300" s="1" t="s">
        <v>116</v>
      </c>
      <c r="H300" s="15">
        <v>3</v>
      </c>
      <c r="I300" s="16">
        <v>18.899999999999999</v>
      </c>
      <c r="J300" s="17">
        <v>0.15</v>
      </c>
      <c r="K300" s="18">
        <f t="shared" si="12"/>
        <v>56.699999999999996</v>
      </c>
      <c r="L300" s="18">
        <f t="shared" si="13"/>
        <v>8.504999999999999</v>
      </c>
      <c r="M300" s="18">
        <f t="shared" si="14"/>
        <v>48.194999999999993</v>
      </c>
      <c r="N300" s="24" t="e">
        <f>VLOOKUP(Vendas[[#This Row],[Mes2]],Planilha1!$J:$K,2,FALSE)</f>
        <v>#N/A</v>
      </c>
      <c r="O300" s="26" t="s">
        <v>482</v>
      </c>
    </row>
    <row r="301" spans="1:15">
      <c r="A301" s="13" t="s">
        <v>396</v>
      </c>
      <c r="B301" s="14">
        <v>45959</v>
      </c>
      <c r="C301" s="1" t="s">
        <v>121</v>
      </c>
      <c r="D301" s="1" t="s">
        <v>98</v>
      </c>
      <c r="E301" s="1" t="s">
        <v>105</v>
      </c>
      <c r="F301" s="1" t="s">
        <v>128</v>
      </c>
      <c r="G301" s="1" t="s">
        <v>107</v>
      </c>
      <c r="H301" s="15">
        <v>3</v>
      </c>
      <c r="I301" s="16">
        <v>12.9</v>
      </c>
      <c r="J301" s="17">
        <v>0</v>
      </c>
      <c r="K301" s="18">
        <f t="shared" si="12"/>
        <v>38.700000000000003</v>
      </c>
      <c r="L301" s="18">
        <f t="shared" si="13"/>
        <v>0</v>
      </c>
      <c r="M301" s="18">
        <f t="shared" si="14"/>
        <v>38.700000000000003</v>
      </c>
      <c r="N301" s="24" t="e">
        <f>VLOOKUP(Vendas[[#This Row],[Mes2]],Planilha1!$J:$K,2,FALSE)</f>
        <v>#N/A</v>
      </c>
      <c r="O301" s="26" t="s">
        <v>482</v>
      </c>
    </row>
    <row r="302" spans="1:15">
      <c r="A302" s="13" t="s">
        <v>402</v>
      </c>
      <c r="B302" s="14">
        <v>45959</v>
      </c>
      <c r="C302" s="1" t="s">
        <v>113</v>
      </c>
      <c r="D302" s="1" t="s">
        <v>114</v>
      </c>
      <c r="E302" s="1" t="s">
        <v>115</v>
      </c>
      <c r="F302" s="1" t="s">
        <v>100</v>
      </c>
      <c r="G302" s="1" t="s">
        <v>107</v>
      </c>
      <c r="H302" s="15">
        <v>1</v>
      </c>
      <c r="I302" s="16">
        <v>18.899999999999999</v>
      </c>
      <c r="J302" s="17">
        <v>0</v>
      </c>
      <c r="K302" s="18">
        <f t="shared" si="12"/>
        <v>18.899999999999999</v>
      </c>
      <c r="L302" s="18">
        <f t="shared" si="13"/>
        <v>0</v>
      </c>
      <c r="M302" s="18">
        <f t="shared" si="14"/>
        <v>18.899999999999999</v>
      </c>
      <c r="N302" s="24" t="e">
        <f>VLOOKUP(Vendas[[#This Row],[Mes2]],Planilha1!$J:$K,2,FALSE)</f>
        <v>#N/A</v>
      </c>
      <c r="O302" s="26" t="s">
        <v>482</v>
      </c>
    </row>
    <row r="303" spans="1:15">
      <c r="A303" s="13" t="s">
        <v>404</v>
      </c>
      <c r="B303" s="14">
        <v>45960</v>
      </c>
      <c r="C303" s="1" t="s">
        <v>111</v>
      </c>
      <c r="D303" s="1" t="s">
        <v>104</v>
      </c>
      <c r="E303" s="1" t="s">
        <v>115</v>
      </c>
      <c r="F303" s="1" t="s">
        <v>100</v>
      </c>
      <c r="G303" s="1" t="s">
        <v>101</v>
      </c>
      <c r="H303" s="15">
        <v>1</v>
      </c>
      <c r="I303" s="16">
        <v>28.9</v>
      </c>
      <c r="J303" s="17">
        <v>0.15</v>
      </c>
      <c r="K303" s="18">
        <f t="shared" si="12"/>
        <v>28.9</v>
      </c>
      <c r="L303" s="18">
        <f t="shared" si="13"/>
        <v>4.335</v>
      </c>
      <c r="M303" s="18">
        <f t="shared" si="14"/>
        <v>24.564999999999998</v>
      </c>
      <c r="N303" s="24" t="e">
        <f>VLOOKUP(Vendas[[#This Row],[Mes2]],Planilha1!$J:$K,2,FALSE)</f>
        <v>#N/A</v>
      </c>
      <c r="O303" s="26" t="s">
        <v>482</v>
      </c>
    </row>
    <row r="304" spans="1:15">
      <c r="A304" s="13" t="s">
        <v>408</v>
      </c>
      <c r="B304" s="14">
        <v>45960</v>
      </c>
      <c r="C304" s="1" t="s">
        <v>111</v>
      </c>
      <c r="D304" s="1" t="s">
        <v>104</v>
      </c>
      <c r="E304" s="1" t="s">
        <v>99</v>
      </c>
      <c r="F304" s="1" t="s">
        <v>106</v>
      </c>
      <c r="G304" s="1" t="s">
        <v>101</v>
      </c>
      <c r="H304" s="15">
        <v>3</v>
      </c>
      <c r="I304" s="16">
        <v>28.9</v>
      </c>
      <c r="J304" s="17">
        <v>0.05</v>
      </c>
      <c r="K304" s="18">
        <f t="shared" si="12"/>
        <v>86.699999999999989</v>
      </c>
      <c r="L304" s="18">
        <f t="shared" si="13"/>
        <v>4.335</v>
      </c>
      <c r="M304" s="18">
        <f t="shared" si="14"/>
        <v>82.364999999999995</v>
      </c>
      <c r="N304" s="24" t="e">
        <f>VLOOKUP(Vendas[[#This Row],[Mes2]],Planilha1!$J:$K,2,FALSE)</f>
        <v>#N/A</v>
      </c>
      <c r="O304" s="26" t="s">
        <v>482</v>
      </c>
    </row>
    <row r="305" spans="1:15">
      <c r="A305" s="13" t="s">
        <v>432</v>
      </c>
      <c r="B305" s="14">
        <v>45962</v>
      </c>
      <c r="C305" s="1" t="s">
        <v>134</v>
      </c>
      <c r="D305" s="1" t="s">
        <v>104</v>
      </c>
      <c r="E305" s="1" t="s">
        <v>109</v>
      </c>
      <c r="F305" s="1" t="s">
        <v>100</v>
      </c>
      <c r="G305" s="1" t="s">
        <v>107</v>
      </c>
      <c r="H305" s="15">
        <v>1</v>
      </c>
      <c r="I305" s="16">
        <v>79.900000000000006</v>
      </c>
      <c r="J305" s="17">
        <v>0.1</v>
      </c>
      <c r="K305" s="18">
        <f t="shared" si="12"/>
        <v>79.900000000000006</v>
      </c>
      <c r="L305" s="18">
        <f t="shared" si="13"/>
        <v>7.9900000000000011</v>
      </c>
      <c r="M305" s="18">
        <f t="shared" si="14"/>
        <v>71.910000000000011</v>
      </c>
      <c r="N305" s="24" t="e">
        <f>VLOOKUP(Vendas[[#This Row],[Mes2]],Planilha1!$J:$K,2,FALSE)</f>
        <v>#N/A</v>
      </c>
      <c r="O305" s="26" t="s">
        <v>483</v>
      </c>
    </row>
    <row r="306" spans="1:15">
      <c r="A306" s="13" t="s">
        <v>419</v>
      </c>
      <c r="B306" s="14">
        <v>45963</v>
      </c>
      <c r="C306" s="1" t="s">
        <v>134</v>
      </c>
      <c r="D306" s="1" t="s">
        <v>104</v>
      </c>
      <c r="E306" s="1" t="s">
        <v>99</v>
      </c>
      <c r="F306" s="1" t="s">
        <v>128</v>
      </c>
      <c r="G306" s="1" t="s">
        <v>107</v>
      </c>
      <c r="H306" s="15">
        <v>1</v>
      </c>
      <c r="I306" s="16">
        <v>79.900000000000006</v>
      </c>
      <c r="J306" s="17">
        <v>0.1</v>
      </c>
      <c r="K306" s="18">
        <f t="shared" si="12"/>
        <v>79.900000000000006</v>
      </c>
      <c r="L306" s="18">
        <f>K306*J306</f>
        <v>7.9900000000000011</v>
      </c>
      <c r="M306" s="18">
        <f t="shared" si="14"/>
        <v>71.910000000000011</v>
      </c>
      <c r="N306" s="24" t="e">
        <f>VLOOKUP(Vendas[[#This Row],[Mes2]],Planilha1!$J:$K,2,FALSE)</f>
        <v>#N/A</v>
      </c>
      <c r="O306" s="26" t="s">
        <v>483</v>
      </c>
    </row>
    <row r="307" spans="1:15">
      <c r="A307" s="13" t="s">
        <v>435</v>
      </c>
      <c r="B307" s="14">
        <v>45964</v>
      </c>
      <c r="C307" s="1" t="s">
        <v>113</v>
      </c>
      <c r="D307" s="1" t="s">
        <v>114</v>
      </c>
      <c r="E307" s="1" t="s">
        <v>105</v>
      </c>
      <c r="F307" s="1" t="s">
        <v>100</v>
      </c>
      <c r="G307" s="1" t="s">
        <v>116</v>
      </c>
      <c r="H307" s="15">
        <v>2</v>
      </c>
      <c r="I307" s="16">
        <v>18.899999999999999</v>
      </c>
      <c r="J307" s="17">
        <v>0</v>
      </c>
      <c r="K307" s="18">
        <f t="shared" si="12"/>
        <v>37.799999999999997</v>
      </c>
      <c r="L307" s="18">
        <f t="shared" si="13"/>
        <v>0</v>
      </c>
      <c r="M307" s="18">
        <f t="shared" si="14"/>
        <v>37.799999999999997</v>
      </c>
      <c r="N307" s="24" t="e">
        <f>VLOOKUP(Vendas[[#This Row],[Mes2]],Planilha1!$J:$K,2,FALSE)</f>
        <v>#N/A</v>
      </c>
      <c r="O307" s="26" t="s">
        <v>483</v>
      </c>
    </row>
    <row r="308" spans="1:15">
      <c r="A308" s="13" t="s">
        <v>420</v>
      </c>
      <c r="B308" s="14">
        <v>45968</v>
      </c>
      <c r="C308" s="1" t="s">
        <v>121</v>
      </c>
      <c r="D308" s="1" t="s">
        <v>98</v>
      </c>
      <c r="E308" s="1" t="s">
        <v>99</v>
      </c>
      <c r="F308" s="1" t="s">
        <v>106</v>
      </c>
      <c r="G308" s="1" t="s">
        <v>101</v>
      </c>
      <c r="H308" s="15">
        <v>1</v>
      </c>
      <c r="I308" s="16">
        <v>12.9</v>
      </c>
      <c r="J308" s="17">
        <v>0.15</v>
      </c>
      <c r="K308" s="18">
        <f t="shared" si="12"/>
        <v>12.9</v>
      </c>
      <c r="L308" s="18">
        <f t="shared" si="13"/>
        <v>1.9350000000000001</v>
      </c>
      <c r="M308" s="18">
        <f t="shared" si="14"/>
        <v>10.965</v>
      </c>
      <c r="N308" s="24" t="e">
        <f>VLOOKUP(Vendas[[#This Row],[Mes2]],Planilha1!$J:$K,2,FALSE)</f>
        <v>#N/A</v>
      </c>
      <c r="O308" s="26" t="s">
        <v>483</v>
      </c>
    </row>
    <row r="309" spans="1:15">
      <c r="A309" s="13" t="s">
        <v>425</v>
      </c>
      <c r="B309" s="14">
        <v>45968</v>
      </c>
      <c r="C309" s="1" t="s">
        <v>123</v>
      </c>
      <c r="D309" s="1" t="s">
        <v>114</v>
      </c>
      <c r="E309" s="1" t="s">
        <v>109</v>
      </c>
      <c r="F309" s="1" t="s">
        <v>100</v>
      </c>
      <c r="G309" s="1" t="s">
        <v>116</v>
      </c>
      <c r="H309" s="15">
        <v>3</v>
      </c>
      <c r="I309" s="16">
        <v>74.900000000000006</v>
      </c>
      <c r="J309" s="17">
        <v>0.05</v>
      </c>
      <c r="K309" s="18">
        <f t="shared" si="12"/>
        <v>224.70000000000002</v>
      </c>
      <c r="L309" s="18">
        <f t="shared" si="13"/>
        <v>11.235000000000001</v>
      </c>
      <c r="M309" s="18">
        <f t="shared" si="14"/>
        <v>213.465</v>
      </c>
      <c r="N309" s="24" t="e">
        <f>VLOOKUP(Vendas[[#This Row],[Mes2]],Planilha1!$J:$K,2,FALSE)</f>
        <v>#N/A</v>
      </c>
      <c r="O309" s="26" t="s">
        <v>483</v>
      </c>
    </row>
    <row r="310" spans="1:15">
      <c r="A310" s="13" t="s">
        <v>439</v>
      </c>
      <c r="B310" s="14">
        <v>45968</v>
      </c>
      <c r="C310" s="1" t="s">
        <v>111</v>
      </c>
      <c r="D310" s="1" t="s">
        <v>104</v>
      </c>
      <c r="E310" s="1" t="s">
        <v>109</v>
      </c>
      <c r="F310" s="1" t="s">
        <v>100</v>
      </c>
      <c r="G310" s="1" t="s">
        <v>101</v>
      </c>
      <c r="H310" s="15">
        <v>1</v>
      </c>
      <c r="I310" s="16">
        <v>28.9</v>
      </c>
      <c r="J310" s="17">
        <v>0.1</v>
      </c>
      <c r="K310" s="18">
        <f t="shared" si="12"/>
        <v>28.9</v>
      </c>
      <c r="L310" s="18">
        <f t="shared" si="13"/>
        <v>2.89</v>
      </c>
      <c r="M310" s="18">
        <f t="shared" si="14"/>
        <v>26.009999999999998</v>
      </c>
      <c r="N310" s="24" t="e">
        <f>VLOOKUP(Vendas[[#This Row],[Mes2]],Planilha1!$J:$K,2,FALSE)</f>
        <v>#N/A</v>
      </c>
      <c r="O310" s="26" t="s">
        <v>483</v>
      </c>
    </row>
    <row r="311" spans="1:15">
      <c r="A311" s="13" t="s">
        <v>434</v>
      </c>
      <c r="B311" s="14">
        <v>45970</v>
      </c>
      <c r="C311" s="1" t="s">
        <v>118</v>
      </c>
      <c r="D311" s="1" t="s">
        <v>98</v>
      </c>
      <c r="E311" s="1" t="s">
        <v>105</v>
      </c>
      <c r="F311" s="1" t="s">
        <v>106</v>
      </c>
      <c r="G311" s="1" t="s">
        <v>116</v>
      </c>
      <c r="H311" s="15">
        <v>2</v>
      </c>
      <c r="I311" s="16">
        <v>89.9</v>
      </c>
      <c r="J311" s="17">
        <v>0.05</v>
      </c>
      <c r="K311" s="18">
        <f t="shared" si="12"/>
        <v>179.8</v>
      </c>
      <c r="L311" s="18">
        <f t="shared" si="13"/>
        <v>8.99</v>
      </c>
      <c r="M311" s="18">
        <f t="shared" si="14"/>
        <v>170.81</v>
      </c>
      <c r="N311" s="24" t="e">
        <f>VLOOKUP(Vendas[[#This Row],[Mes2]],Planilha1!$J:$K,2,FALSE)</f>
        <v>#N/A</v>
      </c>
      <c r="O311" s="26" t="s">
        <v>483</v>
      </c>
    </row>
    <row r="312" spans="1:15">
      <c r="A312" s="13" t="s">
        <v>438</v>
      </c>
      <c r="B312" s="14">
        <v>45970</v>
      </c>
      <c r="C312" s="1" t="s">
        <v>121</v>
      </c>
      <c r="D312" s="1" t="s">
        <v>98</v>
      </c>
      <c r="E312" s="1" t="s">
        <v>105</v>
      </c>
      <c r="F312" s="1" t="s">
        <v>100</v>
      </c>
      <c r="G312" s="1" t="s">
        <v>101</v>
      </c>
      <c r="H312" s="15">
        <v>1</v>
      </c>
      <c r="I312" s="16">
        <v>12.9</v>
      </c>
      <c r="J312" s="17">
        <v>0.15</v>
      </c>
      <c r="K312" s="18">
        <f t="shared" si="12"/>
        <v>12.9</v>
      </c>
      <c r="L312" s="18">
        <f t="shared" si="13"/>
        <v>1.9350000000000001</v>
      </c>
      <c r="M312" s="18">
        <f t="shared" si="14"/>
        <v>10.965</v>
      </c>
      <c r="N312" s="24" t="e">
        <f>VLOOKUP(Vendas[[#This Row],[Mes2]],Planilha1!$J:$K,2,FALSE)</f>
        <v>#N/A</v>
      </c>
      <c r="O312" s="26" t="s">
        <v>483</v>
      </c>
    </row>
    <row r="313" spans="1:15">
      <c r="A313" s="13" t="s">
        <v>422</v>
      </c>
      <c r="B313" s="14">
        <v>45971</v>
      </c>
      <c r="C313" s="1" t="s">
        <v>113</v>
      </c>
      <c r="D313" s="1" t="s">
        <v>114</v>
      </c>
      <c r="E313" s="1" t="s">
        <v>99</v>
      </c>
      <c r="F313" s="1" t="s">
        <v>106</v>
      </c>
      <c r="G313" s="1" t="s">
        <v>116</v>
      </c>
      <c r="H313" s="15">
        <v>3</v>
      </c>
      <c r="I313" s="16">
        <v>18.899999999999999</v>
      </c>
      <c r="J313" s="17">
        <v>0.1</v>
      </c>
      <c r="K313" s="18">
        <f t="shared" si="12"/>
        <v>56.699999999999996</v>
      </c>
      <c r="L313" s="18">
        <f t="shared" si="13"/>
        <v>5.67</v>
      </c>
      <c r="M313" s="18">
        <f t="shared" si="14"/>
        <v>51.029999999999994</v>
      </c>
      <c r="N313" s="24" t="e">
        <f>VLOOKUP(Vendas[[#This Row],[Mes2]],Planilha1!$J:$K,2,FALSE)</f>
        <v>#N/A</v>
      </c>
      <c r="O313" s="26" t="s">
        <v>483</v>
      </c>
    </row>
    <row r="314" spans="1:15">
      <c r="A314" s="13" t="s">
        <v>424</v>
      </c>
      <c r="B314" s="14">
        <v>45972</v>
      </c>
      <c r="C314" s="1" t="s">
        <v>103</v>
      </c>
      <c r="D314" s="1" t="s">
        <v>104</v>
      </c>
      <c r="E314" s="1" t="s">
        <v>126</v>
      </c>
      <c r="F314" s="1" t="s">
        <v>106</v>
      </c>
      <c r="G314" s="1" t="s">
        <v>116</v>
      </c>
      <c r="H314" s="15">
        <v>2</v>
      </c>
      <c r="I314" s="16">
        <v>39.9</v>
      </c>
      <c r="J314" s="17">
        <v>0</v>
      </c>
      <c r="K314" s="18">
        <f t="shared" si="12"/>
        <v>79.8</v>
      </c>
      <c r="L314" s="18">
        <f t="shared" si="13"/>
        <v>0</v>
      </c>
      <c r="M314" s="18">
        <f t="shared" si="14"/>
        <v>79.8</v>
      </c>
      <c r="N314" s="24" t="e">
        <f>VLOOKUP(Vendas[[#This Row],[Mes2]],Planilha1!$J:$K,2,FALSE)</f>
        <v>#N/A</v>
      </c>
      <c r="O314" s="26" t="s">
        <v>483</v>
      </c>
    </row>
    <row r="315" spans="1:15">
      <c r="A315" s="13" t="s">
        <v>441</v>
      </c>
      <c r="B315" s="14">
        <v>45972</v>
      </c>
      <c r="C315" s="1" t="s">
        <v>111</v>
      </c>
      <c r="D315" s="1" t="s">
        <v>104</v>
      </c>
      <c r="E315" s="1" t="s">
        <v>115</v>
      </c>
      <c r="F315" s="1" t="s">
        <v>100</v>
      </c>
      <c r="G315" s="1" t="s">
        <v>101</v>
      </c>
      <c r="H315" s="15">
        <v>2</v>
      </c>
      <c r="I315" s="16">
        <v>28.9</v>
      </c>
      <c r="J315" s="17">
        <v>0.1</v>
      </c>
      <c r="K315" s="18">
        <f t="shared" si="12"/>
        <v>57.8</v>
      </c>
      <c r="L315" s="18">
        <f t="shared" si="13"/>
        <v>5.78</v>
      </c>
      <c r="M315" s="18">
        <f t="shared" si="14"/>
        <v>52.019999999999996</v>
      </c>
      <c r="N315" s="24" t="e">
        <f>VLOOKUP(Vendas[[#This Row],[Mes2]],Planilha1!$J:$K,2,FALSE)</f>
        <v>#N/A</v>
      </c>
      <c r="O315" s="26" t="s">
        <v>483</v>
      </c>
    </row>
    <row r="316" spans="1:15">
      <c r="A316" s="13" t="s">
        <v>426</v>
      </c>
      <c r="B316" s="14">
        <v>45973</v>
      </c>
      <c r="C316" s="1" t="s">
        <v>134</v>
      </c>
      <c r="D316" s="1" t="s">
        <v>104</v>
      </c>
      <c r="E316" s="1" t="s">
        <v>105</v>
      </c>
      <c r="F316" s="1" t="s">
        <v>100</v>
      </c>
      <c r="G316" s="1" t="s">
        <v>107</v>
      </c>
      <c r="H316" s="15">
        <v>1</v>
      </c>
      <c r="I316" s="16">
        <v>79.900000000000006</v>
      </c>
      <c r="J316" s="17">
        <v>0.2</v>
      </c>
      <c r="K316" s="18">
        <f t="shared" si="12"/>
        <v>79.900000000000006</v>
      </c>
      <c r="L316" s="18">
        <f t="shared" si="13"/>
        <v>15.980000000000002</v>
      </c>
      <c r="M316" s="18">
        <f t="shared" si="14"/>
        <v>63.92</v>
      </c>
      <c r="N316" s="24" t="e">
        <f>VLOOKUP(Vendas[[#This Row],[Mes2]],Planilha1!$J:$K,2,FALSE)</f>
        <v>#N/A</v>
      </c>
      <c r="O316" s="26" t="s">
        <v>483</v>
      </c>
    </row>
    <row r="317" spans="1:15">
      <c r="A317" s="13" t="s">
        <v>444</v>
      </c>
      <c r="B317" s="14">
        <v>45974</v>
      </c>
      <c r="C317" s="1" t="s">
        <v>103</v>
      </c>
      <c r="D317" s="1" t="s">
        <v>104</v>
      </c>
      <c r="E317" s="1" t="s">
        <v>99</v>
      </c>
      <c r="F317" s="1" t="s">
        <v>106</v>
      </c>
      <c r="G317" s="1" t="s">
        <v>143</v>
      </c>
      <c r="H317" s="15">
        <v>3</v>
      </c>
      <c r="I317" s="16">
        <v>39.9</v>
      </c>
      <c r="J317" s="17">
        <v>0.05</v>
      </c>
      <c r="K317" s="18">
        <f t="shared" si="12"/>
        <v>119.69999999999999</v>
      </c>
      <c r="L317" s="18">
        <f t="shared" si="13"/>
        <v>5.9849999999999994</v>
      </c>
      <c r="M317" s="18">
        <f t="shared" si="14"/>
        <v>113.71499999999999</v>
      </c>
      <c r="N317" s="24" t="e">
        <f>VLOOKUP(Vendas[[#This Row],[Mes2]],Planilha1!$J:$K,2,FALSE)</f>
        <v>#N/A</v>
      </c>
      <c r="O317" s="26" t="s">
        <v>483</v>
      </c>
    </row>
    <row r="318" spans="1:15">
      <c r="A318" s="13" t="s">
        <v>430</v>
      </c>
      <c r="B318" s="14">
        <v>45976</v>
      </c>
      <c r="C318" s="1" t="s">
        <v>121</v>
      </c>
      <c r="D318" s="1" t="s">
        <v>98</v>
      </c>
      <c r="E318" s="1" t="s">
        <v>109</v>
      </c>
      <c r="F318" s="1" t="s">
        <v>100</v>
      </c>
      <c r="G318" s="1" t="s">
        <v>107</v>
      </c>
      <c r="H318" s="15">
        <v>2</v>
      </c>
      <c r="I318" s="16">
        <v>12.9</v>
      </c>
      <c r="J318" s="17">
        <v>0.1</v>
      </c>
      <c r="K318" s="18">
        <f t="shared" si="12"/>
        <v>25.8</v>
      </c>
      <c r="L318" s="18">
        <f t="shared" si="13"/>
        <v>2.58</v>
      </c>
      <c r="M318" s="18">
        <f t="shared" si="14"/>
        <v>23.22</v>
      </c>
      <c r="N318" s="24" t="e">
        <f>VLOOKUP(Vendas[[#This Row],[Mes2]],Planilha1!$J:$K,2,FALSE)</f>
        <v>#N/A</v>
      </c>
      <c r="O318" s="26" t="s">
        <v>483</v>
      </c>
    </row>
    <row r="319" spans="1:15">
      <c r="A319" s="13" t="s">
        <v>437</v>
      </c>
      <c r="B319" s="14">
        <v>45976</v>
      </c>
      <c r="C319" s="1" t="s">
        <v>103</v>
      </c>
      <c r="D319" s="1" t="s">
        <v>104</v>
      </c>
      <c r="E319" s="1" t="s">
        <v>109</v>
      </c>
      <c r="F319" s="1" t="s">
        <v>100</v>
      </c>
      <c r="G319" s="1" t="s">
        <v>107</v>
      </c>
      <c r="H319" s="15">
        <v>3</v>
      </c>
      <c r="I319" s="16">
        <v>39.9</v>
      </c>
      <c r="J319" s="17">
        <v>0.15</v>
      </c>
      <c r="K319" s="18">
        <f t="shared" si="12"/>
        <v>119.69999999999999</v>
      </c>
      <c r="L319" s="18">
        <f t="shared" si="13"/>
        <v>17.954999999999998</v>
      </c>
      <c r="M319" s="18">
        <f t="shared" si="14"/>
        <v>101.74499999999999</v>
      </c>
      <c r="N319" s="24" t="e">
        <f>VLOOKUP(Vendas[[#This Row],[Mes2]],Planilha1!$J:$K,2,FALSE)</f>
        <v>#N/A</v>
      </c>
      <c r="O319" s="26" t="s">
        <v>483</v>
      </c>
    </row>
    <row r="320" spans="1:15">
      <c r="A320" s="13" t="s">
        <v>423</v>
      </c>
      <c r="B320" s="14">
        <v>45977</v>
      </c>
      <c r="C320" s="1" t="s">
        <v>111</v>
      </c>
      <c r="D320" s="1" t="s">
        <v>104</v>
      </c>
      <c r="E320" s="1" t="s">
        <v>109</v>
      </c>
      <c r="F320" s="1" t="s">
        <v>106</v>
      </c>
      <c r="G320" s="1" t="s">
        <v>107</v>
      </c>
      <c r="H320" s="15">
        <v>1</v>
      </c>
      <c r="I320" s="16">
        <v>28.9</v>
      </c>
      <c r="J320" s="17">
        <v>0.1</v>
      </c>
      <c r="K320" s="18">
        <f t="shared" si="12"/>
        <v>28.9</v>
      </c>
      <c r="L320" s="18">
        <f t="shared" si="13"/>
        <v>2.89</v>
      </c>
      <c r="M320" s="18">
        <f t="shared" si="14"/>
        <v>26.009999999999998</v>
      </c>
      <c r="N320" s="24" t="e">
        <f>VLOOKUP(Vendas[[#This Row],[Mes2]],Planilha1!$J:$K,2,FALSE)</f>
        <v>#N/A</v>
      </c>
      <c r="O320" s="26" t="s">
        <v>483</v>
      </c>
    </row>
    <row r="321" spans="1:15">
      <c r="A321" s="13" t="s">
        <v>427</v>
      </c>
      <c r="B321" s="14">
        <v>45977</v>
      </c>
      <c r="C321" s="1" t="s">
        <v>97</v>
      </c>
      <c r="D321" s="1" t="s">
        <v>98</v>
      </c>
      <c r="E321" s="1" t="s">
        <v>99</v>
      </c>
      <c r="F321" s="1" t="s">
        <v>100</v>
      </c>
      <c r="G321" s="1" t="s">
        <v>116</v>
      </c>
      <c r="H321" s="15">
        <v>3</v>
      </c>
      <c r="I321" s="16">
        <v>34.9</v>
      </c>
      <c r="J321" s="17">
        <v>0.05</v>
      </c>
      <c r="K321" s="18">
        <f t="shared" si="12"/>
        <v>104.69999999999999</v>
      </c>
      <c r="L321" s="18">
        <f t="shared" si="13"/>
        <v>5.2349999999999994</v>
      </c>
      <c r="M321" s="18">
        <f t="shared" si="14"/>
        <v>99.464999999999989</v>
      </c>
      <c r="N321" s="24" t="e">
        <f>VLOOKUP(Vendas[[#This Row],[Mes2]],Planilha1!$J:$K,2,FALSE)</f>
        <v>#N/A</v>
      </c>
      <c r="O321" s="26" t="s">
        <v>483</v>
      </c>
    </row>
    <row r="322" spans="1:15">
      <c r="A322" s="13" t="s">
        <v>431</v>
      </c>
      <c r="B322" s="14">
        <v>45977</v>
      </c>
      <c r="C322" s="1" t="s">
        <v>121</v>
      </c>
      <c r="D322" s="1" t="s">
        <v>98</v>
      </c>
      <c r="E322" s="1" t="s">
        <v>109</v>
      </c>
      <c r="F322" s="1" t="s">
        <v>106</v>
      </c>
      <c r="G322" s="1" t="s">
        <v>116</v>
      </c>
      <c r="H322" s="15">
        <v>4</v>
      </c>
      <c r="I322" s="16">
        <v>12.9</v>
      </c>
      <c r="J322" s="17">
        <v>0.1</v>
      </c>
      <c r="K322" s="18">
        <f t="shared" si="12"/>
        <v>51.6</v>
      </c>
      <c r="L322" s="18">
        <f t="shared" si="13"/>
        <v>5.16</v>
      </c>
      <c r="M322" s="18">
        <f t="shared" si="14"/>
        <v>46.44</v>
      </c>
      <c r="N322" s="24" t="e">
        <f>VLOOKUP(Vendas[[#This Row],[Mes2]],Planilha1!$J:$K,2,FALSE)</f>
        <v>#N/A</v>
      </c>
      <c r="O322" s="26" t="s">
        <v>483</v>
      </c>
    </row>
    <row r="323" spans="1:15">
      <c r="A323" s="13" t="s">
        <v>442</v>
      </c>
      <c r="B323" s="14">
        <v>45978</v>
      </c>
      <c r="C323" s="1" t="s">
        <v>118</v>
      </c>
      <c r="D323" s="1" t="s">
        <v>98</v>
      </c>
      <c r="E323" s="1" t="s">
        <v>99</v>
      </c>
      <c r="F323" s="1" t="s">
        <v>128</v>
      </c>
      <c r="G323" s="1" t="s">
        <v>143</v>
      </c>
      <c r="H323" s="15">
        <v>1</v>
      </c>
      <c r="I323" s="16">
        <v>89.9</v>
      </c>
      <c r="J323" s="17">
        <v>0</v>
      </c>
      <c r="K323" s="18">
        <f t="shared" si="12"/>
        <v>89.9</v>
      </c>
      <c r="L323" s="18">
        <f t="shared" si="13"/>
        <v>0</v>
      </c>
      <c r="M323" s="18">
        <f t="shared" si="14"/>
        <v>89.9</v>
      </c>
      <c r="N323" s="24" t="e">
        <f>VLOOKUP(Vendas[[#This Row],[Mes2]],Planilha1!$J:$K,2,FALSE)</f>
        <v>#N/A</v>
      </c>
      <c r="O323" s="26" t="s">
        <v>483</v>
      </c>
    </row>
    <row r="324" spans="1:15">
      <c r="A324" s="13" t="s">
        <v>433</v>
      </c>
      <c r="B324" s="14">
        <v>45980</v>
      </c>
      <c r="C324" s="1" t="s">
        <v>103</v>
      </c>
      <c r="D324" s="1" t="s">
        <v>104</v>
      </c>
      <c r="E324" s="1" t="s">
        <v>105</v>
      </c>
      <c r="F324" s="1" t="s">
        <v>100</v>
      </c>
      <c r="G324" s="1" t="s">
        <v>116</v>
      </c>
      <c r="H324" s="15">
        <v>4</v>
      </c>
      <c r="I324" s="16">
        <v>39.9</v>
      </c>
      <c r="J324" s="17">
        <v>0</v>
      </c>
      <c r="K324" s="18">
        <f t="shared" si="12"/>
        <v>159.6</v>
      </c>
      <c r="L324" s="18">
        <f t="shared" si="13"/>
        <v>0</v>
      </c>
      <c r="M324" s="18">
        <f t="shared" si="14"/>
        <v>159.6</v>
      </c>
      <c r="N324" s="24" t="e">
        <f>VLOOKUP(Vendas[[#This Row],[Mes2]],Planilha1!$J:$K,2,FALSE)</f>
        <v>#N/A</v>
      </c>
      <c r="O324" s="26" t="s">
        <v>483</v>
      </c>
    </row>
    <row r="325" spans="1:15">
      <c r="A325" s="13" t="s">
        <v>445</v>
      </c>
      <c r="B325" s="14">
        <v>45982</v>
      </c>
      <c r="C325" s="1" t="s">
        <v>113</v>
      </c>
      <c r="D325" s="1" t="s">
        <v>114</v>
      </c>
      <c r="E325" s="1" t="s">
        <v>99</v>
      </c>
      <c r="F325" s="1" t="s">
        <v>100</v>
      </c>
      <c r="G325" s="1" t="s">
        <v>107</v>
      </c>
      <c r="H325" s="15">
        <v>3</v>
      </c>
      <c r="I325" s="16">
        <v>18.899999999999999</v>
      </c>
      <c r="J325" s="17">
        <v>0.15</v>
      </c>
      <c r="K325" s="18">
        <f t="shared" ref="K325:K364" si="15">H325*I325</f>
        <v>56.699999999999996</v>
      </c>
      <c r="L325" s="18">
        <f t="shared" ref="L325:L364" si="16">K325*J325</f>
        <v>8.504999999999999</v>
      </c>
      <c r="M325" s="18">
        <f t="shared" ref="M325:M364" si="17">K325-L325</f>
        <v>48.194999999999993</v>
      </c>
      <c r="N325" s="24" t="e">
        <f>VLOOKUP(Vendas[[#This Row],[Mes2]],Planilha1!$J:$K,2,FALSE)</f>
        <v>#N/A</v>
      </c>
      <c r="O325" s="26" t="s">
        <v>483</v>
      </c>
    </row>
    <row r="326" spans="1:15">
      <c r="A326" s="13" t="s">
        <v>447</v>
      </c>
      <c r="B326" s="14">
        <v>45982</v>
      </c>
      <c r="C326" s="1" t="s">
        <v>123</v>
      </c>
      <c r="D326" s="1" t="s">
        <v>114</v>
      </c>
      <c r="E326" s="1" t="s">
        <v>105</v>
      </c>
      <c r="F326" s="1" t="s">
        <v>100</v>
      </c>
      <c r="G326" s="1" t="s">
        <v>116</v>
      </c>
      <c r="H326" s="15">
        <v>4</v>
      </c>
      <c r="I326" s="16">
        <v>74.900000000000006</v>
      </c>
      <c r="J326" s="17">
        <v>0.05</v>
      </c>
      <c r="K326" s="18">
        <f t="shared" si="15"/>
        <v>299.60000000000002</v>
      </c>
      <c r="L326" s="18">
        <f t="shared" si="16"/>
        <v>14.980000000000002</v>
      </c>
      <c r="M326" s="18">
        <f t="shared" si="17"/>
        <v>284.62</v>
      </c>
      <c r="N326" s="24" t="e">
        <f>VLOOKUP(Vendas[[#This Row],[Mes2]],Planilha1!$J:$K,2,FALSE)</f>
        <v>#N/A</v>
      </c>
      <c r="O326" s="26" t="s">
        <v>483</v>
      </c>
    </row>
    <row r="327" spans="1:15">
      <c r="A327" s="13" t="s">
        <v>428</v>
      </c>
      <c r="B327" s="14">
        <v>45984</v>
      </c>
      <c r="C327" s="1" t="s">
        <v>111</v>
      </c>
      <c r="D327" s="1" t="s">
        <v>104</v>
      </c>
      <c r="E327" s="1" t="s">
        <v>109</v>
      </c>
      <c r="F327" s="1" t="s">
        <v>128</v>
      </c>
      <c r="G327" s="1" t="s">
        <v>116</v>
      </c>
      <c r="H327" s="15">
        <v>3</v>
      </c>
      <c r="I327" s="16">
        <v>28.9</v>
      </c>
      <c r="J327" s="17">
        <v>0.15</v>
      </c>
      <c r="K327" s="18">
        <f t="shared" si="15"/>
        <v>86.699999999999989</v>
      </c>
      <c r="L327" s="18">
        <f t="shared" si="16"/>
        <v>13.004999999999997</v>
      </c>
      <c r="M327" s="18">
        <f t="shared" si="17"/>
        <v>73.694999999999993</v>
      </c>
      <c r="N327" s="24" t="e">
        <f>VLOOKUP(Vendas[[#This Row],[Mes2]],Planilha1!$J:$K,2,FALSE)</f>
        <v>#N/A</v>
      </c>
      <c r="O327" s="26" t="s">
        <v>483</v>
      </c>
    </row>
    <row r="328" spans="1:15">
      <c r="A328" s="13" t="s">
        <v>429</v>
      </c>
      <c r="B328" s="14">
        <v>45984</v>
      </c>
      <c r="C328" s="1" t="s">
        <v>103</v>
      </c>
      <c r="D328" s="1" t="s">
        <v>104</v>
      </c>
      <c r="E328" s="1" t="s">
        <v>99</v>
      </c>
      <c r="F328" s="1" t="s">
        <v>128</v>
      </c>
      <c r="G328" s="1" t="s">
        <v>107</v>
      </c>
      <c r="H328" s="15">
        <v>3</v>
      </c>
      <c r="I328" s="16">
        <v>39.9</v>
      </c>
      <c r="J328" s="17">
        <v>0.05</v>
      </c>
      <c r="K328" s="18">
        <f t="shared" si="15"/>
        <v>119.69999999999999</v>
      </c>
      <c r="L328" s="18">
        <f t="shared" si="16"/>
        <v>5.9849999999999994</v>
      </c>
      <c r="M328" s="18">
        <f t="shared" si="17"/>
        <v>113.71499999999999</v>
      </c>
      <c r="N328" s="24" t="e">
        <f>VLOOKUP(Vendas[[#This Row],[Mes2]],Planilha1!$J:$K,2,FALSE)</f>
        <v>#N/A</v>
      </c>
      <c r="O328" s="26" t="s">
        <v>483</v>
      </c>
    </row>
    <row r="329" spans="1:15">
      <c r="A329" s="13" t="s">
        <v>446</v>
      </c>
      <c r="B329" s="14">
        <v>45984</v>
      </c>
      <c r="C329" s="1" t="s">
        <v>97</v>
      </c>
      <c r="D329" s="1" t="s">
        <v>98</v>
      </c>
      <c r="E329" s="1" t="s">
        <v>115</v>
      </c>
      <c r="F329" s="1" t="s">
        <v>100</v>
      </c>
      <c r="G329" s="1" t="s">
        <v>116</v>
      </c>
      <c r="H329" s="15">
        <v>4</v>
      </c>
      <c r="I329" s="16">
        <v>34.9</v>
      </c>
      <c r="J329" s="17">
        <v>0</v>
      </c>
      <c r="K329" s="18">
        <f t="shared" si="15"/>
        <v>139.6</v>
      </c>
      <c r="L329" s="18">
        <f t="shared" si="16"/>
        <v>0</v>
      </c>
      <c r="M329" s="18">
        <f t="shared" si="17"/>
        <v>139.6</v>
      </c>
      <c r="N329" s="24" t="e">
        <f>VLOOKUP(Vendas[[#This Row],[Mes2]],Planilha1!$J:$K,2,FALSE)</f>
        <v>#N/A</v>
      </c>
      <c r="O329" s="26" t="s">
        <v>483</v>
      </c>
    </row>
    <row r="330" spans="1:15">
      <c r="A330" s="13" t="s">
        <v>436</v>
      </c>
      <c r="B330" s="14">
        <v>45986</v>
      </c>
      <c r="C330" s="1" t="s">
        <v>113</v>
      </c>
      <c r="D330" s="1" t="s">
        <v>114</v>
      </c>
      <c r="E330" s="1" t="s">
        <v>109</v>
      </c>
      <c r="F330" s="1" t="s">
        <v>100</v>
      </c>
      <c r="G330" s="1" t="s">
        <v>107</v>
      </c>
      <c r="H330" s="15">
        <v>2</v>
      </c>
      <c r="I330" s="16">
        <v>18.899999999999999</v>
      </c>
      <c r="J330" s="17">
        <v>0.15</v>
      </c>
      <c r="K330" s="18">
        <f t="shared" si="15"/>
        <v>37.799999999999997</v>
      </c>
      <c r="L330" s="18">
        <f t="shared" si="16"/>
        <v>5.669999999999999</v>
      </c>
      <c r="M330" s="18">
        <f t="shared" si="17"/>
        <v>32.129999999999995</v>
      </c>
      <c r="N330" s="24" t="e">
        <f>VLOOKUP(Vendas[[#This Row],[Mes2]],Planilha1!$J:$K,2,FALSE)</f>
        <v>#N/A</v>
      </c>
      <c r="O330" s="26" t="s">
        <v>483</v>
      </c>
    </row>
    <row r="331" spans="1:15">
      <c r="A331" s="13" t="s">
        <v>443</v>
      </c>
      <c r="B331" s="14">
        <v>45986</v>
      </c>
      <c r="C331" s="1" t="s">
        <v>97</v>
      </c>
      <c r="D331" s="1" t="s">
        <v>98</v>
      </c>
      <c r="E331" s="1" t="s">
        <v>99</v>
      </c>
      <c r="F331" s="1" t="s">
        <v>106</v>
      </c>
      <c r="G331" s="1" t="s">
        <v>116</v>
      </c>
      <c r="H331" s="15">
        <v>2</v>
      </c>
      <c r="I331" s="16">
        <v>34.9</v>
      </c>
      <c r="J331" s="17">
        <v>0.2</v>
      </c>
      <c r="K331" s="18">
        <f t="shared" si="15"/>
        <v>69.8</v>
      </c>
      <c r="L331" s="18">
        <f t="shared" si="16"/>
        <v>13.96</v>
      </c>
      <c r="M331" s="18">
        <f t="shared" si="17"/>
        <v>55.839999999999996</v>
      </c>
      <c r="N331" s="24" t="e">
        <f>VLOOKUP(Vendas[[#This Row],[Mes2]],Planilha1!$J:$K,2,FALSE)</f>
        <v>#N/A</v>
      </c>
      <c r="O331" s="26" t="s">
        <v>483</v>
      </c>
    </row>
    <row r="332" spans="1:15">
      <c r="A332" s="13" t="s">
        <v>448</v>
      </c>
      <c r="B332" s="14">
        <v>45987</v>
      </c>
      <c r="C332" s="1" t="s">
        <v>97</v>
      </c>
      <c r="D332" s="1" t="s">
        <v>98</v>
      </c>
      <c r="E332" s="1" t="s">
        <v>109</v>
      </c>
      <c r="F332" s="1" t="s">
        <v>100</v>
      </c>
      <c r="G332" s="1" t="s">
        <v>116</v>
      </c>
      <c r="H332" s="15">
        <v>1</v>
      </c>
      <c r="I332" s="16">
        <v>34.9</v>
      </c>
      <c r="J332" s="17">
        <v>0</v>
      </c>
      <c r="K332" s="18">
        <f t="shared" si="15"/>
        <v>34.9</v>
      </c>
      <c r="L332" s="18">
        <f t="shared" si="16"/>
        <v>0</v>
      </c>
      <c r="M332" s="18">
        <f t="shared" si="17"/>
        <v>34.9</v>
      </c>
      <c r="N332" s="24" t="e">
        <f>VLOOKUP(Vendas[[#This Row],[Mes2]],Planilha1!$J:$K,2,FALSE)</f>
        <v>#N/A</v>
      </c>
      <c r="O332" s="26" t="s">
        <v>483</v>
      </c>
    </row>
    <row r="333" spans="1:15">
      <c r="A333" s="13" t="s">
        <v>440</v>
      </c>
      <c r="B333" s="14">
        <v>45988</v>
      </c>
      <c r="C333" s="1" t="s">
        <v>103</v>
      </c>
      <c r="D333" s="1" t="s">
        <v>104</v>
      </c>
      <c r="E333" s="1" t="s">
        <v>105</v>
      </c>
      <c r="F333" s="1" t="s">
        <v>128</v>
      </c>
      <c r="G333" s="1" t="s">
        <v>101</v>
      </c>
      <c r="H333" s="15">
        <v>2</v>
      </c>
      <c r="I333" s="16">
        <v>39.9</v>
      </c>
      <c r="J333" s="17">
        <v>0.1</v>
      </c>
      <c r="K333" s="18">
        <f t="shared" si="15"/>
        <v>79.8</v>
      </c>
      <c r="L333" s="18">
        <f t="shared" si="16"/>
        <v>7.98</v>
      </c>
      <c r="M333" s="18">
        <f t="shared" si="17"/>
        <v>71.819999999999993</v>
      </c>
      <c r="N333" s="24" t="e">
        <f>VLOOKUP(Vendas[[#This Row],[Mes2]],Planilha1!$J:$K,2,FALSE)</f>
        <v>#N/A</v>
      </c>
      <c r="O333" s="26" t="s">
        <v>483</v>
      </c>
    </row>
    <row r="334" spans="1:15">
      <c r="A334" s="13" t="s">
        <v>421</v>
      </c>
      <c r="B334" s="14">
        <v>45990</v>
      </c>
      <c r="C334" s="1" t="s">
        <v>111</v>
      </c>
      <c r="D334" s="1" t="s">
        <v>104</v>
      </c>
      <c r="E334" s="1" t="s">
        <v>109</v>
      </c>
      <c r="F334" s="1" t="s">
        <v>100</v>
      </c>
      <c r="G334" s="1" t="s">
        <v>101</v>
      </c>
      <c r="H334" s="15">
        <v>1</v>
      </c>
      <c r="I334" s="16">
        <v>28.9</v>
      </c>
      <c r="J334" s="21">
        <v>0</v>
      </c>
      <c r="K334" s="18">
        <f t="shared" si="15"/>
        <v>28.9</v>
      </c>
      <c r="L334" s="18">
        <f t="shared" si="16"/>
        <v>0</v>
      </c>
      <c r="M334" s="18">
        <f t="shared" si="17"/>
        <v>28.9</v>
      </c>
      <c r="N334" s="24" t="e">
        <f>VLOOKUP(Vendas[[#This Row],[Mes2]],Planilha1!$J:$K,2,FALSE)</f>
        <v>#N/A</v>
      </c>
      <c r="O334" s="26" t="s">
        <v>483</v>
      </c>
    </row>
    <row r="335" spans="1:15">
      <c r="A335" s="13" t="s">
        <v>461</v>
      </c>
      <c r="B335" s="14">
        <v>45992</v>
      </c>
      <c r="C335" s="1" t="s">
        <v>97</v>
      </c>
      <c r="D335" s="1" t="s">
        <v>98</v>
      </c>
      <c r="E335" s="1" t="s">
        <v>109</v>
      </c>
      <c r="F335" s="1" t="s">
        <v>106</v>
      </c>
      <c r="G335" s="1" t="s">
        <v>116</v>
      </c>
      <c r="H335" s="15">
        <v>3</v>
      </c>
      <c r="I335" s="16">
        <v>34.9</v>
      </c>
      <c r="J335" s="21">
        <v>0.2</v>
      </c>
      <c r="K335" s="18">
        <f t="shared" si="15"/>
        <v>104.69999999999999</v>
      </c>
      <c r="L335" s="18">
        <f t="shared" si="16"/>
        <v>20.939999999999998</v>
      </c>
      <c r="M335" s="18">
        <f t="shared" si="17"/>
        <v>83.759999999999991</v>
      </c>
      <c r="N335" s="24" t="e">
        <f>VLOOKUP(Vendas[[#This Row],[Mes2]],Planilha1!$J:$K,2,FALSE)</f>
        <v>#N/A</v>
      </c>
      <c r="O335" s="26" t="s">
        <v>484</v>
      </c>
    </row>
    <row r="336" spans="1:15">
      <c r="A336" s="13" t="s">
        <v>468</v>
      </c>
      <c r="B336" s="14">
        <v>45992</v>
      </c>
      <c r="C336" s="1" t="s">
        <v>123</v>
      </c>
      <c r="D336" s="1" t="s">
        <v>114</v>
      </c>
      <c r="E336" s="1" t="s">
        <v>115</v>
      </c>
      <c r="F336" s="1" t="s">
        <v>106</v>
      </c>
      <c r="G336" s="1" t="s">
        <v>479</v>
      </c>
      <c r="H336" s="15">
        <v>1</v>
      </c>
      <c r="I336" s="16">
        <v>74.900000000000006</v>
      </c>
      <c r="J336" s="21">
        <v>0.1</v>
      </c>
      <c r="K336" s="18">
        <f t="shared" si="15"/>
        <v>74.900000000000006</v>
      </c>
      <c r="L336" s="18">
        <f t="shared" si="16"/>
        <v>7.4900000000000011</v>
      </c>
      <c r="M336" s="18">
        <f t="shared" si="17"/>
        <v>67.410000000000011</v>
      </c>
      <c r="N336" s="24" t="e">
        <f>VLOOKUP(Vendas[[#This Row],[Mes2]],Planilha1!$J:$K,2,FALSE)</f>
        <v>#N/A</v>
      </c>
      <c r="O336" s="26" t="s">
        <v>484</v>
      </c>
    </row>
    <row r="337" spans="1:17">
      <c r="A337" s="13" t="s">
        <v>462</v>
      </c>
      <c r="B337" s="14">
        <v>45997</v>
      </c>
      <c r="C337" s="1" t="s">
        <v>118</v>
      </c>
      <c r="D337" s="1" t="s">
        <v>98</v>
      </c>
      <c r="E337" s="1" t="s">
        <v>126</v>
      </c>
      <c r="F337" s="1" t="s">
        <v>106</v>
      </c>
      <c r="G337" s="1" t="s">
        <v>107</v>
      </c>
      <c r="H337" s="15">
        <v>2</v>
      </c>
      <c r="I337" s="16">
        <v>89.9</v>
      </c>
      <c r="J337" s="21">
        <v>0.1</v>
      </c>
      <c r="K337" s="18">
        <f t="shared" si="15"/>
        <v>179.8</v>
      </c>
      <c r="L337" s="18">
        <f t="shared" si="16"/>
        <v>17.98</v>
      </c>
      <c r="M337" s="18">
        <f t="shared" si="17"/>
        <v>161.82000000000002</v>
      </c>
      <c r="N337" s="24" t="e">
        <f>VLOOKUP(Vendas[[#This Row],[Mes2]],Planilha1!$J:$K,2,FALSE)</f>
        <v>#N/A</v>
      </c>
      <c r="O337" s="26" t="s">
        <v>484</v>
      </c>
      <c r="Q337" s="37"/>
    </row>
    <row r="338" spans="1:17">
      <c r="A338" s="13" t="s">
        <v>474</v>
      </c>
      <c r="B338" s="14">
        <v>45997</v>
      </c>
      <c r="C338" s="1" t="s">
        <v>103</v>
      </c>
      <c r="D338" s="1" t="s">
        <v>104</v>
      </c>
      <c r="E338" s="1" t="s">
        <v>99</v>
      </c>
      <c r="F338" s="1" t="s">
        <v>100</v>
      </c>
      <c r="G338" s="1" t="s">
        <v>116</v>
      </c>
      <c r="H338" s="15">
        <v>4</v>
      </c>
      <c r="I338" s="16">
        <v>39.9</v>
      </c>
      <c r="J338" s="21">
        <v>0.1</v>
      </c>
      <c r="K338" s="18">
        <f t="shared" si="15"/>
        <v>159.6</v>
      </c>
      <c r="L338" s="18">
        <f t="shared" si="16"/>
        <v>15.96</v>
      </c>
      <c r="M338" s="18">
        <f t="shared" si="17"/>
        <v>143.63999999999999</v>
      </c>
      <c r="N338" s="24" t="e">
        <f>VLOOKUP(Vendas[[#This Row],[Mes2]],Planilha1!$J:$K,2,FALSE)</f>
        <v>#N/A</v>
      </c>
      <c r="O338" s="26" t="s">
        <v>484</v>
      </c>
    </row>
    <row r="339" spans="1:17">
      <c r="A339" s="13" t="s">
        <v>458</v>
      </c>
      <c r="B339" s="14">
        <v>45999</v>
      </c>
      <c r="C339" s="1" t="s">
        <v>103</v>
      </c>
      <c r="D339" s="1" t="s">
        <v>104</v>
      </c>
      <c r="E339" s="1" t="s">
        <v>109</v>
      </c>
      <c r="F339" s="1" t="s">
        <v>100</v>
      </c>
      <c r="G339" s="1" t="s">
        <v>116</v>
      </c>
      <c r="H339" s="15">
        <v>3</v>
      </c>
      <c r="I339" s="16">
        <v>39.9</v>
      </c>
      <c r="J339" s="21">
        <v>0</v>
      </c>
      <c r="K339" s="18">
        <f t="shared" si="15"/>
        <v>119.69999999999999</v>
      </c>
      <c r="L339" s="18">
        <f t="shared" si="16"/>
        <v>0</v>
      </c>
      <c r="M339" s="18">
        <f t="shared" si="17"/>
        <v>119.69999999999999</v>
      </c>
      <c r="N339" s="24" t="e">
        <f>VLOOKUP(Vendas[[#This Row],[Mes2]],Planilha1!$J:$K,2,FALSE)</f>
        <v>#N/A</v>
      </c>
      <c r="O339" s="26" t="s">
        <v>484</v>
      </c>
    </row>
    <row r="340" spans="1:17">
      <c r="A340" s="13" t="s">
        <v>463</v>
      </c>
      <c r="B340" s="14">
        <v>45999</v>
      </c>
      <c r="C340" s="1" t="s">
        <v>103</v>
      </c>
      <c r="D340" s="1" t="s">
        <v>104</v>
      </c>
      <c r="E340" s="1" t="s">
        <v>99</v>
      </c>
      <c r="F340" s="1" t="s">
        <v>106</v>
      </c>
      <c r="G340" s="1" t="s">
        <v>107</v>
      </c>
      <c r="H340" s="15">
        <v>3</v>
      </c>
      <c r="I340" s="16">
        <v>39.9</v>
      </c>
      <c r="J340" s="21">
        <v>0.15</v>
      </c>
      <c r="K340" s="18">
        <f t="shared" si="15"/>
        <v>119.69999999999999</v>
      </c>
      <c r="L340" s="18">
        <f t="shared" si="16"/>
        <v>17.954999999999998</v>
      </c>
      <c r="M340" s="18">
        <f t="shared" si="17"/>
        <v>101.74499999999999</v>
      </c>
      <c r="N340" s="24" t="e">
        <f>VLOOKUP(Vendas[[#This Row],[Mes2]],Planilha1!$J:$K,2,FALSE)</f>
        <v>#N/A</v>
      </c>
      <c r="O340" s="26" t="s">
        <v>484</v>
      </c>
    </row>
    <row r="341" spans="1:17">
      <c r="A341" s="13" t="s">
        <v>457</v>
      </c>
      <c r="B341" s="14">
        <v>46000</v>
      </c>
      <c r="C341" s="1" t="s">
        <v>111</v>
      </c>
      <c r="D341" s="1" t="s">
        <v>104</v>
      </c>
      <c r="E341" s="1" t="s">
        <v>115</v>
      </c>
      <c r="F341" s="1" t="s">
        <v>100</v>
      </c>
      <c r="G341" s="1" t="s">
        <v>107</v>
      </c>
      <c r="H341" s="15">
        <v>3</v>
      </c>
      <c r="I341" s="16">
        <v>28.9</v>
      </c>
      <c r="J341" s="21">
        <v>0.1</v>
      </c>
      <c r="K341" s="18">
        <f t="shared" si="15"/>
        <v>86.699999999999989</v>
      </c>
      <c r="L341" s="18">
        <f t="shared" si="16"/>
        <v>8.67</v>
      </c>
      <c r="M341" s="18">
        <f t="shared" si="17"/>
        <v>78.029999999999987</v>
      </c>
      <c r="N341" s="24" t="e">
        <f>VLOOKUP(Vendas[[#This Row],[Mes2]],Planilha1!$J:$K,2,FALSE)</f>
        <v>#N/A</v>
      </c>
      <c r="O341" s="26" t="s">
        <v>484</v>
      </c>
    </row>
    <row r="342" spans="1:17">
      <c r="A342" s="13" t="s">
        <v>464</v>
      </c>
      <c r="B342" s="14">
        <v>46000</v>
      </c>
      <c r="C342" s="1" t="s">
        <v>123</v>
      </c>
      <c r="D342" s="1" t="s">
        <v>114</v>
      </c>
      <c r="E342" s="1" t="s">
        <v>109</v>
      </c>
      <c r="F342" s="1" t="s">
        <v>128</v>
      </c>
      <c r="G342" s="1" t="s">
        <v>143</v>
      </c>
      <c r="H342" s="15">
        <v>4</v>
      </c>
      <c r="I342" s="16">
        <v>74.900000000000006</v>
      </c>
      <c r="J342" s="21">
        <v>0.05</v>
      </c>
      <c r="K342" s="18">
        <f t="shared" si="15"/>
        <v>299.60000000000002</v>
      </c>
      <c r="L342" s="18">
        <f t="shared" si="16"/>
        <v>14.980000000000002</v>
      </c>
      <c r="M342" s="18">
        <f t="shared" si="17"/>
        <v>284.62</v>
      </c>
      <c r="N342" s="24" t="e">
        <f>VLOOKUP(Vendas[[#This Row],[Mes2]],Planilha1!$J:$K,2,FALSE)</f>
        <v>#N/A</v>
      </c>
      <c r="O342" s="26" t="s">
        <v>484</v>
      </c>
    </row>
    <row r="343" spans="1:17">
      <c r="A343" s="13" t="s">
        <v>466</v>
      </c>
      <c r="B343" s="14">
        <v>46000</v>
      </c>
      <c r="C343" s="1" t="s">
        <v>123</v>
      </c>
      <c r="D343" s="1" t="s">
        <v>114</v>
      </c>
      <c r="E343" s="1" t="s">
        <v>109</v>
      </c>
      <c r="F343" s="1" t="s">
        <v>100</v>
      </c>
      <c r="G343" s="1" t="s">
        <v>101</v>
      </c>
      <c r="H343" s="15">
        <v>1</v>
      </c>
      <c r="I343" s="16">
        <v>74.900000000000006</v>
      </c>
      <c r="J343" s="21">
        <v>0.1</v>
      </c>
      <c r="K343" s="18">
        <f t="shared" si="15"/>
        <v>74.900000000000006</v>
      </c>
      <c r="L343" s="18">
        <f t="shared" si="16"/>
        <v>7.4900000000000011</v>
      </c>
      <c r="M343" s="18">
        <f t="shared" si="17"/>
        <v>67.410000000000011</v>
      </c>
      <c r="N343" s="24" t="e">
        <f>VLOOKUP(Vendas[[#This Row],[Mes2]],Planilha1!$J:$K,2,FALSE)</f>
        <v>#N/A</v>
      </c>
      <c r="O343" s="26" t="s">
        <v>484</v>
      </c>
    </row>
    <row r="344" spans="1:17">
      <c r="A344" s="13" t="s">
        <v>450</v>
      </c>
      <c r="B344" s="14">
        <v>46003</v>
      </c>
      <c r="C344" s="1" t="s">
        <v>103</v>
      </c>
      <c r="D344" s="1" t="s">
        <v>104</v>
      </c>
      <c r="E344" s="1" t="s">
        <v>115</v>
      </c>
      <c r="F344" s="1" t="s">
        <v>128</v>
      </c>
      <c r="G344" s="1" t="s">
        <v>107</v>
      </c>
      <c r="H344" s="15">
        <v>2</v>
      </c>
      <c r="I344" s="16">
        <v>39.9</v>
      </c>
      <c r="J344" s="21">
        <v>0.05</v>
      </c>
      <c r="K344" s="18">
        <f t="shared" si="15"/>
        <v>79.8</v>
      </c>
      <c r="L344" s="18">
        <f t="shared" si="16"/>
        <v>3.99</v>
      </c>
      <c r="M344" s="18">
        <f t="shared" si="17"/>
        <v>75.81</v>
      </c>
      <c r="N344" s="24" t="e">
        <f>VLOOKUP(Vendas[[#This Row],[Mes2]],Planilha1!$J:$K,2,FALSE)</f>
        <v>#N/A</v>
      </c>
      <c r="O344" s="26" t="s">
        <v>484</v>
      </c>
    </row>
    <row r="345" spans="1:17">
      <c r="A345" s="13" t="s">
        <v>451</v>
      </c>
      <c r="B345" s="14">
        <v>46003</v>
      </c>
      <c r="C345" s="1" t="s">
        <v>121</v>
      </c>
      <c r="D345" s="1" t="s">
        <v>98</v>
      </c>
      <c r="E345" s="1" t="s">
        <v>99</v>
      </c>
      <c r="F345" s="1" t="s">
        <v>100</v>
      </c>
      <c r="G345" s="1" t="s">
        <v>116</v>
      </c>
      <c r="H345" s="15">
        <v>1</v>
      </c>
      <c r="I345" s="16">
        <v>12.9</v>
      </c>
      <c r="J345" s="21">
        <v>0.1</v>
      </c>
      <c r="K345" s="18">
        <f t="shared" si="15"/>
        <v>12.9</v>
      </c>
      <c r="L345" s="18">
        <f t="shared" si="16"/>
        <v>1.29</v>
      </c>
      <c r="M345" s="18">
        <f t="shared" si="17"/>
        <v>11.61</v>
      </c>
      <c r="N345" s="24" t="e">
        <f>VLOOKUP(Vendas[[#This Row],[Mes2]],Planilha1!$J:$K,2,FALSE)</f>
        <v>#N/A</v>
      </c>
      <c r="O345" s="26" t="s">
        <v>484</v>
      </c>
    </row>
    <row r="346" spans="1:17">
      <c r="A346" s="13" t="s">
        <v>472</v>
      </c>
      <c r="B346" s="14">
        <v>46004</v>
      </c>
      <c r="C346" s="1" t="s">
        <v>123</v>
      </c>
      <c r="D346" s="1" t="s">
        <v>114</v>
      </c>
      <c r="E346" s="1" t="s">
        <v>109</v>
      </c>
      <c r="F346" s="1" t="s">
        <v>106</v>
      </c>
      <c r="G346" s="1" t="s">
        <v>116</v>
      </c>
      <c r="H346" s="15">
        <v>3</v>
      </c>
      <c r="I346" s="16">
        <v>74.900000000000006</v>
      </c>
      <c r="J346" s="21">
        <v>0.15</v>
      </c>
      <c r="K346" s="18">
        <f t="shared" si="15"/>
        <v>224.70000000000002</v>
      </c>
      <c r="L346" s="18">
        <f t="shared" si="16"/>
        <v>33.704999999999998</v>
      </c>
      <c r="M346" s="18">
        <f t="shared" si="17"/>
        <v>190.995</v>
      </c>
      <c r="N346" s="24" t="e">
        <f>VLOOKUP(Vendas[[#This Row],[Mes2]],Planilha1!$J:$K,2,FALSE)</f>
        <v>#N/A</v>
      </c>
      <c r="O346" s="26" t="s">
        <v>484</v>
      </c>
    </row>
    <row r="347" spans="1:17">
      <c r="A347" s="13" t="s">
        <v>477</v>
      </c>
      <c r="B347" s="14">
        <v>46005</v>
      </c>
      <c r="C347" s="1" t="s">
        <v>111</v>
      </c>
      <c r="D347" s="1" t="s">
        <v>104</v>
      </c>
      <c r="E347" s="1" t="s">
        <v>109</v>
      </c>
      <c r="F347" s="1" t="s">
        <v>100</v>
      </c>
      <c r="G347" s="1" t="s">
        <v>116</v>
      </c>
      <c r="H347" s="15">
        <v>2</v>
      </c>
      <c r="I347" s="16">
        <v>28.9</v>
      </c>
      <c r="J347" s="21">
        <v>0.1</v>
      </c>
      <c r="K347" s="18">
        <f t="shared" si="15"/>
        <v>57.8</v>
      </c>
      <c r="L347" s="18">
        <f t="shared" si="16"/>
        <v>5.78</v>
      </c>
      <c r="M347" s="18">
        <f t="shared" si="17"/>
        <v>52.019999999999996</v>
      </c>
      <c r="N347" s="24" t="e">
        <f>VLOOKUP(Vendas[[#This Row],[Mes2]],Planilha1!$J:$K,2,FALSE)</f>
        <v>#N/A</v>
      </c>
      <c r="O347" s="26" t="s">
        <v>484</v>
      </c>
    </row>
    <row r="348" spans="1:17">
      <c r="A348" s="13" t="s">
        <v>453</v>
      </c>
      <c r="B348" s="14">
        <v>46007</v>
      </c>
      <c r="C348" s="1" t="s">
        <v>103</v>
      </c>
      <c r="D348" s="1" t="s">
        <v>104</v>
      </c>
      <c r="E348" s="1" t="s">
        <v>109</v>
      </c>
      <c r="F348" s="1" t="s">
        <v>100</v>
      </c>
      <c r="G348" s="1" t="s">
        <v>107</v>
      </c>
      <c r="H348" s="15">
        <v>1</v>
      </c>
      <c r="I348" s="16">
        <v>39.9</v>
      </c>
      <c r="J348" s="21">
        <v>0.05</v>
      </c>
      <c r="K348" s="18">
        <f t="shared" si="15"/>
        <v>39.9</v>
      </c>
      <c r="L348" s="18">
        <f t="shared" si="16"/>
        <v>1.9950000000000001</v>
      </c>
      <c r="M348" s="18">
        <f t="shared" si="17"/>
        <v>37.905000000000001</v>
      </c>
      <c r="N348" s="24" t="e">
        <f>VLOOKUP(Vendas[[#This Row],[Mes2]],Planilha1!$J:$K,2,FALSE)</f>
        <v>#N/A</v>
      </c>
      <c r="O348" s="26" t="s">
        <v>484</v>
      </c>
    </row>
    <row r="349" spans="1:17">
      <c r="A349" s="13" t="s">
        <v>470</v>
      </c>
      <c r="B349" s="14">
        <v>46007</v>
      </c>
      <c r="C349" s="1" t="s">
        <v>111</v>
      </c>
      <c r="D349" s="1" t="s">
        <v>104</v>
      </c>
      <c r="E349" s="1" t="s">
        <v>109</v>
      </c>
      <c r="F349" s="1" t="s">
        <v>100</v>
      </c>
      <c r="G349" s="1" t="s">
        <v>107</v>
      </c>
      <c r="H349" s="15">
        <v>2</v>
      </c>
      <c r="I349" s="16">
        <v>28.9</v>
      </c>
      <c r="J349" s="21">
        <v>0.2</v>
      </c>
      <c r="K349" s="18">
        <f t="shared" si="15"/>
        <v>57.8</v>
      </c>
      <c r="L349" s="18">
        <f t="shared" si="16"/>
        <v>11.56</v>
      </c>
      <c r="M349" s="18">
        <f t="shared" si="17"/>
        <v>46.239999999999995</v>
      </c>
      <c r="N349" s="24" t="e">
        <f>VLOOKUP(Vendas[[#This Row],[Mes2]],Planilha1!$J:$K,2,FALSE)</f>
        <v>#N/A</v>
      </c>
      <c r="O349" s="26" t="s">
        <v>484</v>
      </c>
    </row>
    <row r="350" spans="1:17">
      <c r="A350" s="13" t="s">
        <v>455</v>
      </c>
      <c r="B350" s="14">
        <v>46009</v>
      </c>
      <c r="C350" s="1" t="s">
        <v>118</v>
      </c>
      <c r="D350" s="1" t="s">
        <v>98</v>
      </c>
      <c r="E350" s="1" t="s">
        <v>126</v>
      </c>
      <c r="F350" s="1" t="s">
        <v>100</v>
      </c>
      <c r="G350" s="1" t="s">
        <v>101</v>
      </c>
      <c r="H350" s="15">
        <v>1</v>
      </c>
      <c r="I350" s="16">
        <v>89.9</v>
      </c>
      <c r="J350" s="21">
        <v>0.15</v>
      </c>
      <c r="K350" s="18">
        <f t="shared" si="15"/>
        <v>89.9</v>
      </c>
      <c r="L350" s="18">
        <f t="shared" si="16"/>
        <v>13.485000000000001</v>
      </c>
      <c r="M350" s="18">
        <f t="shared" si="17"/>
        <v>76.415000000000006</v>
      </c>
      <c r="N350" s="24" t="e">
        <f>VLOOKUP(Vendas[[#This Row],[Mes2]],Planilha1!$J:$K,2,FALSE)</f>
        <v>#N/A</v>
      </c>
      <c r="O350" s="26" t="s">
        <v>484</v>
      </c>
    </row>
    <row r="351" spans="1:17">
      <c r="A351" s="13" t="s">
        <v>460</v>
      </c>
      <c r="B351" s="14">
        <v>46009</v>
      </c>
      <c r="C351" s="1" t="s">
        <v>111</v>
      </c>
      <c r="D351" s="1" t="s">
        <v>104</v>
      </c>
      <c r="E351" s="1" t="s">
        <v>115</v>
      </c>
      <c r="F351" s="1" t="s">
        <v>100</v>
      </c>
      <c r="G351" s="1" t="s">
        <v>107</v>
      </c>
      <c r="H351" s="15">
        <v>4</v>
      </c>
      <c r="I351" s="16">
        <v>28.9</v>
      </c>
      <c r="J351" s="21">
        <v>0</v>
      </c>
      <c r="K351" s="18">
        <f t="shared" si="15"/>
        <v>115.6</v>
      </c>
      <c r="L351" s="18">
        <f t="shared" si="16"/>
        <v>0</v>
      </c>
      <c r="M351" s="18">
        <f t="shared" si="17"/>
        <v>115.6</v>
      </c>
      <c r="N351" s="24" t="e">
        <f>VLOOKUP(Vendas[[#This Row],[Mes2]],Planilha1!$J:$K,2,FALSE)</f>
        <v>#N/A</v>
      </c>
      <c r="O351" s="26" t="s">
        <v>484</v>
      </c>
    </row>
    <row r="352" spans="1:17">
      <c r="A352" s="13" t="s">
        <v>465</v>
      </c>
      <c r="B352" s="14">
        <v>46009</v>
      </c>
      <c r="C352" s="1" t="s">
        <v>134</v>
      </c>
      <c r="D352" s="1" t="s">
        <v>104</v>
      </c>
      <c r="E352" s="1" t="s">
        <v>109</v>
      </c>
      <c r="F352" s="1" t="s">
        <v>106</v>
      </c>
      <c r="G352" s="1" t="s">
        <v>107</v>
      </c>
      <c r="H352" s="15">
        <v>3</v>
      </c>
      <c r="I352" s="16">
        <v>79.900000000000006</v>
      </c>
      <c r="J352" s="21">
        <v>0.05</v>
      </c>
      <c r="K352" s="18">
        <f t="shared" si="15"/>
        <v>239.70000000000002</v>
      </c>
      <c r="L352" s="18">
        <f t="shared" si="16"/>
        <v>11.985000000000001</v>
      </c>
      <c r="M352" s="18">
        <f t="shared" si="17"/>
        <v>227.715</v>
      </c>
      <c r="N352" s="24" t="e">
        <f>VLOOKUP(Vendas[[#This Row],[Mes2]],Planilha1!$J:$K,2,FALSE)</f>
        <v>#N/A</v>
      </c>
      <c r="O352" s="26" t="s">
        <v>484</v>
      </c>
    </row>
    <row r="353" spans="1:15">
      <c r="A353" s="13" t="s">
        <v>471</v>
      </c>
      <c r="B353" s="14">
        <v>46009</v>
      </c>
      <c r="C353" s="1" t="s">
        <v>103</v>
      </c>
      <c r="D353" s="1" t="s">
        <v>104</v>
      </c>
      <c r="E353" s="1" t="s">
        <v>105</v>
      </c>
      <c r="F353" s="1" t="s">
        <v>100</v>
      </c>
      <c r="G353" s="1" t="s">
        <v>116</v>
      </c>
      <c r="H353" s="15">
        <v>3</v>
      </c>
      <c r="I353" s="16">
        <v>39.9</v>
      </c>
      <c r="J353" s="21">
        <v>0.05</v>
      </c>
      <c r="K353" s="18">
        <f t="shared" si="15"/>
        <v>119.69999999999999</v>
      </c>
      <c r="L353" s="18">
        <f t="shared" si="16"/>
        <v>5.9849999999999994</v>
      </c>
      <c r="M353" s="18">
        <f t="shared" si="17"/>
        <v>113.71499999999999</v>
      </c>
      <c r="N353" s="24" t="e">
        <f>VLOOKUP(Vendas[[#This Row],[Mes2]],Planilha1!$J:$K,2,FALSE)</f>
        <v>#N/A</v>
      </c>
      <c r="O353" s="26" t="s">
        <v>484</v>
      </c>
    </row>
    <row r="354" spans="1:15">
      <c r="A354" s="13" t="s">
        <v>475</v>
      </c>
      <c r="B354" s="14">
        <v>46009</v>
      </c>
      <c r="C354" s="1" t="s">
        <v>113</v>
      </c>
      <c r="D354" s="1" t="s">
        <v>114</v>
      </c>
      <c r="E354" s="1" t="s">
        <v>115</v>
      </c>
      <c r="F354" s="1" t="s">
        <v>100</v>
      </c>
      <c r="G354" s="1" t="s">
        <v>116</v>
      </c>
      <c r="H354" s="15">
        <v>4</v>
      </c>
      <c r="I354" s="16">
        <v>18.899999999999999</v>
      </c>
      <c r="J354" s="21">
        <v>0.05</v>
      </c>
      <c r="K354" s="18">
        <f t="shared" si="15"/>
        <v>75.599999999999994</v>
      </c>
      <c r="L354" s="18">
        <f t="shared" si="16"/>
        <v>3.78</v>
      </c>
      <c r="M354" s="18">
        <f t="shared" si="17"/>
        <v>71.819999999999993</v>
      </c>
      <c r="N354" s="24" t="e">
        <f>VLOOKUP(Vendas[[#This Row],[Mes2]],Planilha1!$J:$K,2,FALSE)</f>
        <v>#N/A</v>
      </c>
      <c r="O354" s="26" t="s">
        <v>484</v>
      </c>
    </row>
    <row r="355" spans="1:15">
      <c r="A355" s="13" t="s">
        <v>469</v>
      </c>
      <c r="B355" s="14">
        <v>46012</v>
      </c>
      <c r="C355" s="1" t="s">
        <v>121</v>
      </c>
      <c r="D355" s="1" t="s">
        <v>98</v>
      </c>
      <c r="E355" s="1" t="s">
        <v>109</v>
      </c>
      <c r="F355" s="1" t="s">
        <v>100</v>
      </c>
      <c r="G355" s="1" t="s">
        <v>107</v>
      </c>
      <c r="H355" s="15">
        <v>3</v>
      </c>
      <c r="I355" s="16">
        <v>12.9</v>
      </c>
      <c r="J355" s="21">
        <v>0.05</v>
      </c>
      <c r="K355" s="18">
        <f t="shared" si="15"/>
        <v>38.700000000000003</v>
      </c>
      <c r="L355" s="18">
        <f t="shared" si="16"/>
        <v>1.9350000000000003</v>
      </c>
      <c r="M355" s="18">
        <f t="shared" si="17"/>
        <v>36.765000000000001</v>
      </c>
      <c r="N355" s="24" t="e">
        <f>VLOOKUP(Vendas[[#This Row],[Mes2]],Planilha1!$J:$K,2,FALSE)</f>
        <v>#N/A</v>
      </c>
      <c r="O355" s="26" t="s">
        <v>484</v>
      </c>
    </row>
    <row r="356" spans="1:15">
      <c r="A356" s="13" t="s">
        <v>459</v>
      </c>
      <c r="B356" s="14">
        <v>46013</v>
      </c>
      <c r="C356" s="1" t="s">
        <v>103</v>
      </c>
      <c r="D356" s="1" t="s">
        <v>104</v>
      </c>
      <c r="E356" s="1" t="s">
        <v>126</v>
      </c>
      <c r="F356" s="1" t="s">
        <v>106</v>
      </c>
      <c r="G356" s="1" t="s">
        <v>107</v>
      </c>
      <c r="H356" s="15">
        <v>2</v>
      </c>
      <c r="I356" s="16">
        <v>39.9</v>
      </c>
      <c r="J356" s="21">
        <v>0.15</v>
      </c>
      <c r="K356" s="18">
        <f t="shared" si="15"/>
        <v>79.8</v>
      </c>
      <c r="L356" s="18">
        <f t="shared" si="16"/>
        <v>11.969999999999999</v>
      </c>
      <c r="M356" s="18">
        <f t="shared" si="17"/>
        <v>67.83</v>
      </c>
      <c r="N356" s="24" t="e">
        <f>VLOOKUP(Vendas[[#This Row],[Mes2]],Planilha1!$J:$K,2,FALSE)</f>
        <v>#N/A</v>
      </c>
      <c r="O356" s="26" t="s">
        <v>484</v>
      </c>
    </row>
    <row r="357" spans="1:15">
      <c r="A357" s="13" t="s">
        <v>449</v>
      </c>
      <c r="B357" s="14">
        <v>46014</v>
      </c>
      <c r="C357" s="1" t="s">
        <v>113</v>
      </c>
      <c r="D357" s="1" t="s">
        <v>114</v>
      </c>
      <c r="E357" s="1" t="s">
        <v>99</v>
      </c>
      <c r="F357" s="1" t="s">
        <v>100</v>
      </c>
      <c r="G357" s="1" t="s">
        <v>101</v>
      </c>
      <c r="H357" s="15">
        <v>1</v>
      </c>
      <c r="I357" s="16">
        <v>18.899999999999999</v>
      </c>
      <c r="J357" s="21">
        <v>0.05</v>
      </c>
      <c r="K357" s="18">
        <f t="shared" si="15"/>
        <v>18.899999999999999</v>
      </c>
      <c r="L357" s="18">
        <f t="shared" si="16"/>
        <v>0.94499999999999995</v>
      </c>
      <c r="M357" s="18">
        <f t="shared" si="17"/>
        <v>17.954999999999998</v>
      </c>
      <c r="N357" s="24" t="e">
        <f>VLOOKUP(Vendas[[#This Row],[Mes2]],Planilha1!$J:$K,2,FALSE)</f>
        <v>#N/A</v>
      </c>
      <c r="O357" s="26" t="s">
        <v>484</v>
      </c>
    </row>
    <row r="358" spans="1:15">
      <c r="A358" s="13" t="s">
        <v>454</v>
      </c>
      <c r="B358" s="14">
        <v>46014</v>
      </c>
      <c r="C358" s="1" t="s">
        <v>103</v>
      </c>
      <c r="D358" s="1" t="s">
        <v>104</v>
      </c>
      <c r="E358" s="1" t="s">
        <v>105</v>
      </c>
      <c r="F358" s="1" t="s">
        <v>100</v>
      </c>
      <c r="G358" s="1" t="s">
        <v>107</v>
      </c>
      <c r="H358" s="15">
        <v>2</v>
      </c>
      <c r="I358" s="16">
        <v>39.9</v>
      </c>
      <c r="J358" s="21">
        <v>0.15</v>
      </c>
      <c r="K358" s="18">
        <f t="shared" si="15"/>
        <v>79.8</v>
      </c>
      <c r="L358" s="18">
        <f t="shared" si="16"/>
        <v>11.969999999999999</v>
      </c>
      <c r="M358" s="18">
        <f t="shared" si="17"/>
        <v>67.83</v>
      </c>
      <c r="N358" s="24" t="e">
        <f>VLOOKUP(Vendas[[#This Row],[Mes2]],Planilha1!$J:$K,2,FALSE)</f>
        <v>#N/A</v>
      </c>
      <c r="O358" s="26" t="s">
        <v>484</v>
      </c>
    </row>
    <row r="359" spans="1:15">
      <c r="A359" s="13" t="s">
        <v>473</v>
      </c>
      <c r="B359" s="14">
        <v>46016</v>
      </c>
      <c r="C359" s="1" t="s">
        <v>134</v>
      </c>
      <c r="D359" s="1" t="s">
        <v>104</v>
      </c>
      <c r="E359" s="1" t="s">
        <v>126</v>
      </c>
      <c r="F359" s="1" t="s">
        <v>100</v>
      </c>
      <c r="G359" s="1" t="s">
        <v>107</v>
      </c>
      <c r="H359" s="15">
        <v>4</v>
      </c>
      <c r="I359" s="16">
        <v>79.900000000000006</v>
      </c>
      <c r="J359" s="21">
        <v>0.05</v>
      </c>
      <c r="K359" s="18">
        <f t="shared" si="15"/>
        <v>319.60000000000002</v>
      </c>
      <c r="L359" s="18">
        <f t="shared" si="16"/>
        <v>15.980000000000002</v>
      </c>
      <c r="M359" s="18">
        <f t="shared" si="17"/>
        <v>303.62</v>
      </c>
      <c r="N359" s="24" t="e">
        <f>VLOOKUP(Vendas[[#This Row],[Mes2]],Planilha1!$J:$K,2,FALSE)</f>
        <v>#N/A</v>
      </c>
      <c r="O359" s="26" t="s">
        <v>484</v>
      </c>
    </row>
    <row r="360" spans="1:15">
      <c r="A360" s="13" t="s">
        <v>467</v>
      </c>
      <c r="B360" s="14">
        <v>46017</v>
      </c>
      <c r="C360" s="1" t="s">
        <v>97</v>
      </c>
      <c r="D360" s="1" t="s">
        <v>98</v>
      </c>
      <c r="E360" s="1" t="s">
        <v>105</v>
      </c>
      <c r="F360" s="1" t="s">
        <v>100</v>
      </c>
      <c r="G360" s="1" t="s">
        <v>116</v>
      </c>
      <c r="H360" s="15">
        <v>1</v>
      </c>
      <c r="I360" s="16">
        <v>34.9</v>
      </c>
      <c r="J360" s="21">
        <v>0.05</v>
      </c>
      <c r="K360" s="18">
        <f t="shared" si="15"/>
        <v>34.9</v>
      </c>
      <c r="L360" s="18">
        <f t="shared" si="16"/>
        <v>1.7450000000000001</v>
      </c>
      <c r="M360" s="18">
        <f t="shared" si="17"/>
        <v>33.155000000000001</v>
      </c>
      <c r="N360" s="24" t="e">
        <f>VLOOKUP(Vendas[[#This Row],[Mes2]],Planilha1!$J:$K,2,FALSE)</f>
        <v>#N/A</v>
      </c>
      <c r="O360" s="26" t="s">
        <v>484</v>
      </c>
    </row>
    <row r="361" spans="1:15">
      <c r="A361" s="13" t="s">
        <v>452</v>
      </c>
      <c r="B361" s="14">
        <v>46018</v>
      </c>
      <c r="C361" s="1" t="s">
        <v>113</v>
      </c>
      <c r="D361" s="1" t="s">
        <v>114</v>
      </c>
      <c r="E361" s="1" t="s">
        <v>99</v>
      </c>
      <c r="F361" s="1" t="s">
        <v>100</v>
      </c>
      <c r="G361" s="1" t="s">
        <v>116</v>
      </c>
      <c r="H361" s="15">
        <v>1</v>
      </c>
      <c r="I361" s="16">
        <v>18.899999999999999</v>
      </c>
      <c r="J361" s="21">
        <v>0</v>
      </c>
      <c r="K361" s="18">
        <f t="shared" si="15"/>
        <v>18.899999999999999</v>
      </c>
      <c r="L361" s="18">
        <f t="shared" si="16"/>
        <v>0</v>
      </c>
      <c r="M361" s="18">
        <f t="shared" si="17"/>
        <v>18.899999999999999</v>
      </c>
      <c r="N361" s="24" t="e">
        <f>VLOOKUP(Vendas[[#This Row],[Mes2]],Planilha1!$J:$K,2,FALSE)</f>
        <v>#N/A</v>
      </c>
      <c r="O361" s="26" t="s">
        <v>484</v>
      </c>
    </row>
    <row r="362" spans="1:15">
      <c r="A362" s="13" t="s">
        <v>456</v>
      </c>
      <c r="B362" s="14">
        <v>46018</v>
      </c>
      <c r="C362" s="1" t="s">
        <v>121</v>
      </c>
      <c r="D362" s="1" t="s">
        <v>98</v>
      </c>
      <c r="E362" s="1" t="s">
        <v>99</v>
      </c>
      <c r="F362" s="1" t="s">
        <v>128</v>
      </c>
      <c r="G362" s="1" t="s">
        <v>107</v>
      </c>
      <c r="H362" s="15">
        <v>2</v>
      </c>
      <c r="I362" s="16">
        <v>12.9</v>
      </c>
      <c r="J362" s="21">
        <v>0.1</v>
      </c>
      <c r="K362" s="18">
        <f t="shared" si="15"/>
        <v>25.8</v>
      </c>
      <c r="L362" s="18">
        <f t="shared" si="16"/>
        <v>2.58</v>
      </c>
      <c r="M362" s="18">
        <f t="shared" si="17"/>
        <v>23.22</v>
      </c>
      <c r="N362" s="24" t="e">
        <f>VLOOKUP(Vendas[[#This Row],[Mes2]],Planilha1!$J:$K,2,FALSE)</f>
        <v>#N/A</v>
      </c>
      <c r="O362" s="26" t="s">
        <v>484</v>
      </c>
    </row>
    <row r="363" spans="1:15">
      <c r="A363" s="13" t="s">
        <v>476</v>
      </c>
      <c r="B363" s="14">
        <v>46018</v>
      </c>
      <c r="C363" s="1" t="s">
        <v>97</v>
      </c>
      <c r="D363" s="1" t="s">
        <v>98</v>
      </c>
      <c r="E363" s="1" t="s">
        <v>99</v>
      </c>
      <c r="F363" s="1" t="s">
        <v>106</v>
      </c>
      <c r="G363" s="1" t="s">
        <v>116</v>
      </c>
      <c r="H363" s="15">
        <v>3</v>
      </c>
      <c r="I363" s="16">
        <v>34.9</v>
      </c>
      <c r="J363" s="21">
        <v>0</v>
      </c>
      <c r="K363" s="18">
        <f t="shared" si="15"/>
        <v>104.69999999999999</v>
      </c>
      <c r="L363" s="18">
        <f t="shared" si="16"/>
        <v>0</v>
      </c>
      <c r="M363" s="18">
        <f t="shared" si="17"/>
        <v>104.69999999999999</v>
      </c>
      <c r="N363" s="24" t="e">
        <f>VLOOKUP(Vendas[[#This Row],[Mes2]],Planilha1!$J:$K,2,FALSE)</f>
        <v>#N/A</v>
      </c>
      <c r="O363" s="26" t="s">
        <v>484</v>
      </c>
    </row>
    <row r="364" spans="1:15">
      <c r="A364" s="13" t="s">
        <v>478</v>
      </c>
      <c r="B364" s="14">
        <v>46020</v>
      </c>
      <c r="C364" s="1" t="s">
        <v>97</v>
      </c>
      <c r="D364" s="1" t="s">
        <v>98</v>
      </c>
      <c r="E364" s="1" t="s">
        <v>109</v>
      </c>
      <c r="F364" s="1" t="s">
        <v>100</v>
      </c>
      <c r="G364" s="1" t="s">
        <v>101</v>
      </c>
      <c r="H364" s="15">
        <v>3</v>
      </c>
      <c r="I364" s="16">
        <v>34.9</v>
      </c>
      <c r="J364" s="21">
        <v>0.1</v>
      </c>
      <c r="K364" s="18">
        <f t="shared" si="15"/>
        <v>104.69999999999999</v>
      </c>
      <c r="L364" s="18">
        <f t="shared" si="16"/>
        <v>10.469999999999999</v>
      </c>
      <c r="M364" s="18">
        <f t="shared" si="17"/>
        <v>94.22999999999999</v>
      </c>
      <c r="N364" s="24" t="e">
        <f>VLOOKUP(Vendas[[#This Row],[Mes2]],Planilha1!$J:$K,2,FALSE)</f>
        <v>#N/A</v>
      </c>
      <c r="O364" s="26" t="s">
        <v>484</v>
      </c>
    </row>
    <row r="365" spans="1:15">
      <c r="E365" s="33"/>
      <c r="F365" s="33"/>
      <c r="G365" s="33"/>
      <c r="H365" s="41">
        <f>SUM(H5:H364)</f>
        <v>693</v>
      </c>
      <c r="I365" s="40">
        <f>SUM(I5:I364)</f>
        <v>15095.999999999911</v>
      </c>
      <c r="J365" s="40"/>
      <c r="K365" s="40" t="s">
        <v>501</v>
      </c>
      <c r="L365" s="40">
        <f t="shared" ref="L365" si="18">SUM(L5:L364)</f>
        <v>1780.3899999999985</v>
      </c>
      <c r="M365" s="40" t="s">
        <v>511</v>
      </c>
      <c r="N365" s="40"/>
      <c r="O365" s="40"/>
    </row>
    <row r="366" spans="1:15">
      <c r="M366" s="27">
        <f>MEDIAN(M5:M364)</f>
        <v>59.33</v>
      </c>
    </row>
  </sheetData>
  <mergeCells count="1">
    <mergeCell ref="A2:N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75B5"/>
  </sheetPr>
  <dimension ref="A1:D20"/>
  <sheetViews>
    <sheetView showGridLines="0" zoomScale="85" zoomScaleNormal="85" workbookViewId="0">
      <pane ySplit="5" topLeftCell="A12" activePane="bottomLeft" state="frozen"/>
      <selection pane="bottomLeft" activeCell="C9" sqref="C9"/>
    </sheetView>
  </sheetViews>
  <sheetFormatPr defaultRowHeight="14.25"/>
  <cols>
    <col min="1" max="1" width="48" customWidth="1"/>
    <col min="2" max="2" width="86" customWidth="1"/>
    <col min="3" max="3" width="23.5" bestFit="1" customWidth="1"/>
    <col min="4" max="4" width="106.25" bestFit="1" customWidth="1"/>
  </cols>
  <sheetData>
    <row r="1" spans="1:4">
      <c r="A1" s="1"/>
      <c r="B1" s="1"/>
      <c r="C1" s="1"/>
      <c r="D1" s="1"/>
    </row>
    <row r="2" spans="1:4" ht="20.25">
      <c r="A2" s="2" t="s">
        <v>60</v>
      </c>
      <c r="B2" s="1"/>
      <c r="C2" s="1"/>
      <c r="D2" s="1"/>
    </row>
    <row r="3" spans="1:4">
      <c r="A3" s="3" t="s">
        <v>61</v>
      </c>
      <c r="B3" s="1"/>
      <c r="C3" s="1"/>
      <c r="D3" s="1"/>
    </row>
    <row r="4" spans="1:4">
      <c r="A4" s="1"/>
      <c r="B4" s="1"/>
      <c r="C4" s="1"/>
      <c r="D4" s="1"/>
    </row>
    <row r="5" spans="1:4" ht="32.1" customHeight="1">
      <c r="A5" s="10" t="s">
        <v>62</v>
      </c>
      <c r="B5" s="10" t="s">
        <v>63</v>
      </c>
      <c r="C5" s="10" t="s">
        <v>64</v>
      </c>
      <c r="D5" s="10" t="s">
        <v>65</v>
      </c>
    </row>
    <row r="6" spans="1:4" ht="33.950000000000003" customHeight="1">
      <c r="A6" s="39" t="s">
        <v>502</v>
      </c>
      <c r="B6" s="6" t="s">
        <v>66</v>
      </c>
      <c r="C6" s="46" t="s">
        <v>513</v>
      </c>
      <c r="D6" s="45" t="s">
        <v>514</v>
      </c>
    </row>
    <row r="7" spans="1:4" ht="33.950000000000003" customHeight="1">
      <c r="A7" s="39" t="s">
        <v>503</v>
      </c>
      <c r="B7" s="6" t="s">
        <v>67</v>
      </c>
      <c r="C7" s="46" t="s">
        <v>515</v>
      </c>
      <c r="D7" s="45" t="s">
        <v>516</v>
      </c>
    </row>
    <row r="8" spans="1:4" ht="33.950000000000003" customHeight="1">
      <c r="A8" s="39" t="s">
        <v>504</v>
      </c>
      <c r="B8" s="6" t="s">
        <v>68</v>
      </c>
      <c r="C8" s="46" t="s">
        <v>521</v>
      </c>
      <c r="D8" s="45" t="s">
        <v>517</v>
      </c>
    </row>
    <row r="9" spans="1:4" ht="33.950000000000003" customHeight="1">
      <c r="A9" s="39" t="s">
        <v>505</v>
      </c>
      <c r="B9" s="44" t="s">
        <v>69</v>
      </c>
      <c r="C9" s="46"/>
      <c r="D9" s="45"/>
    </row>
    <row r="10" spans="1:4" ht="33.950000000000003" customHeight="1">
      <c r="A10" s="39" t="s">
        <v>506</v>
      </c>
      <c r="B10" s="6" t="s">
        <v>70</v>
      </c>
      <c r="C10" s="46"/>
      <c r="D10" s="45"/>
    </row>
    <row r="11" spans="1:4" ht="33.950000000000003" customHeight="1">
      <c r="A11" s="39" t="s">
        <v>520</v>
      </c>
      <c r="B11" s="6" t="s">
        <v>71</v>
      </c>
      <c r="C11" s="46"/>
      <c r="D11" s="45"/>
    </row>
    <row r="12" spans="1:4">
      <c r="A12" s="1"/>
      <c r="B12" s="1"/>
      <c r="C12" s="47"/>
      <c r="D12" s="1"/>
    </row>
    <row r="13" spans="1:4">
      <c r="A13" s="1"/>
      <c r="B13" s="1"/>
      <c r="C13" s="1"/>
      <c r="D13" s="1"/>
    </row>
    <row r="14" spans="1:4" ht="32.1" customHeight="1">
      <c r="A14" s="10" t="s">
        <v>72</v>
      </c>
      <c r="B14" s="10" t="s">
        <v>73</v>
      </c>
      <c r="C14" s="1"/>
      <c r="D14" s="1"/>
    </row>
    <row r="15" spans="1:4" ht="51.95" customHeight="1">
      <c r="A15" s="11" t="s">
        <v>74</v>
      </c>
      <c r="B15" s="43" t="s">
        <v>519</v>
      </c>
      <c r="C15" s="1"/>
      <c r="D15" s="1"/>
    </row>
    <row r="16" spans="1:4" ht="51.95" customHeight="1">
      <c r="A16" s="11" t="s">
        <v>75</v>
      </c>
      <c r="B16" s="12" t="s">
        <v>507</v>
      </c>
      <c r="C16" s="1"/>
      <c r="D16" s="1"/>
    </row>
    <row r="17" spans="1:4" ht="51.95" customHeight="1">
      <c r="A17" s="11" t="s">
        <v>76</v>
      </c>
      <c r="B17" s="43" t="s">
        <v>508</v>
      </c>
      <c r="C17" s="1"/>
      <c r="D17" s="1"/>
    </row>
    <row r="18" spans="1:4" ht="51.95" customHeight="1">
      <c r="A18" s="11" t="s">
        <v>77</v>
      </c>
      <c r="B18" s="43" t="s">
        <v>510</v>
      </c>
      <c r="C18" s="1"/>
      <c r="D18" s="1"/>
    </row>
    <row r="19" spans="1:4" ht="51.95" customHeight="1">
      <c r="A19" s="11" t="s">
        <v>78</v>
      </c>
      <c r="B19" s="43" t="s">
        <v>512</v>
      </c>
      <c r="C19" s="1"/>
      <c r="D19" s="1"/>
    </row>
    <row r="20" spans="1:4" ht="51.95" customHeight="1">
      <c r="A20" s="11" t="s">
        <v>79</v>
      </c>
      <c r="B20" s="43" t="s">
        <v>518</v>
      </c>
      <c r="C20" s="1"/>
      <c r="D20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5CE81-1AFC-4293-BB5D-261E852933E0}">
  <dimension ref="A1:P32"/>
  <sheetViews>
    <sheetView showGridLines="0" showRowColHeaders="0" tabSelected="1" zoomScaleNormal="100" workbookViewId="0">
      <selection activeCell="I4" sqref="I4"/>
    </sheetView>
  </sheetViews>
  <sheetFormatPr defaultRowHeight="14.25"/>
  <cols>
    <col min="1" max="1" width="24.125" style="48" customWidth="1"/>
    <col min="2" max="2" width="8.75" customWidth="1"/>
    <col min="3" max="3" width="20.25" bestFit="1" customWidth="1"/>
    <col min="4" max="4" width="19.5" bestFit="1" customWidth="1"/>
    <col min="5" max="5" width="10.75" bestFit="1" customWidth="1"/>
    <col min="6" max="6" width="9.25" bestFit="1" customWidth="1"/>
    <col min="7" max="7" width="10.75" bestFit="1" customWidth="1"/>
    <col min="8" max="8" width="8.125" customWidth="1"/>
    <col min="9" max="9" width="18" bestFit="1" customWidth="1"/>
    <col min="10" max="10" width="27.625" bestFit="1" customWidth="1"/>
    <col min="11" max="12" width="11.625" bestFit="1" customWidth="1"/>
    <col min="13" max="13" width="14" customWidth="1"/>
    <col min="15" max="15" width="0" hidden="1" customWidth="1"/>
    <col min="16" max="16" width="9.875" hidden="1" customWidth="1"/>
  </cols>
  <sheetData>
    <row r="1" spans="2:16" ht="53.25" customHeight="1" thickBot="1">
      <c r="B1" s="49"/>
      <c r="C1" s="50" t="s">
        <v>524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2:16" ht="15" thickTop="1"/>
    <row r="3" spans="2:16" ht="15">
      <c r="C3" s="51" t="s">
        <v>496</v>
      </c>
      <c r="D3" s="51"/>
      <c r="E3" s="52"/>
      <c r="F3" s="52"/>
      <c r="G3" s="52"/>
      <c r="I3" s="51" t="s">
        <v>495</v>
      </c>
      <c r="J3" s="51"/>
    </row>
    <row r="4" spans="2:16" ht="17.25" customHeight="1">
      <c r="C4" s="22" t="s">
        <v>86</v>
      </c>
      <c r="D4" t="s" vm="1">
        <v>126</v>
      </c>
      <c r="E4" s="56"/>
      <c r="F4" s="56"/>
      <c r="G4" s="56"/>
      <c r="I4" s="68" t="s">
        <v>86</v>
      </c>
      <c r="J4" t="s" vm="1">
        <v>126</v>
      </c>
    </row>
    <row r="5" spans="2:16">
      <c r="C5" s="53"/>
      <c r="D5" s="53"/>
      <c r="E5" s="53"/>
      <c r="F5" s="53"/>
      <c r="G5" s="53"/>
      <c r="I5" s="53"/>
      <c r="J5" s="53"/>
    </row>
    <row r="6" spans="2:16">
      <c r="C6" s="53" t="s">
        <v>494</v>
      </c>
      <c r="D6" s="53" t="s">
        <v>497</v>
      </c>
      <c r="E6" s="53"/>
      <c r="F6" s="53"/>
      <c r="G6" s="53"/>
      <c r="I6" s="53" t="s">
        <v>480</v>
      </c>
      <c r="J6" s="53" t="s">
        <v>494</v>
      </c>
    </row>
    <row r="7" spans="2:16">
      <c r="C7" s="53" t="s">
        <v>480</v>
      </c>
      <c r="D7" s="53" t="s">
        <v>128</v>
      </c>
      <c r="E7" s="53" t="s">
        <v>100</v>
      </c>
      <c r="F7" s="53" t="s">
        <v>106</v>
      </c>
      <c r="G7" s="53" t="s">
        <v>493</v>
      </c>
      <c r="I7" s="36">
        <v>45658</v>
      </c>
      <c r="J7" s="27">
        <v>169.4</v>
      </c>
      <c r="O7" s="30" t="s">
        <v>499</v>
      </c>
    </row>
    <row r="8" spans="2:16">
      <c r="C8" s="23" t="s">
        <v>104</v>
      </c>
      <c r="D8" s="27"/>
      <c r="E8" s="27"/>
      <c r="F8" s="27"/>
      <c r="G8" s="27"/>
      <c r="I8" s="36">
        <v>45659</v>
      </c>
      <c r="J8" s="27">
        <v>213.62</v>
      </c>
      <c r="O8" s="38" t="s">
        <v>481</v>
      </c>
      <c r="P8" s="34" t="s">
        <v>498</v>
      </c>
    </row>
    <row r="9" spans="2:16">
      <c r="C9" s="28" t="s">
        <v>103</v>
      </c>
      <c r="D9" s="27">
        <v>113.71499999999999</v>
      </c>
      <c r="E9" s="27">
        <v>107.72999999999999</v>
      </c>
      <c r="F9" s="27">
        <v>381.04499999999996</v>
      </c>
      <c r="G9" s="27">
        <v>602.49</v>
      </c>
      <c r="I9" s="36">
        <v>45660</v>
      </c>
      <c r="J9" s="27">
        <v>156.62</v>
      </c>
      <c r="O9" s="31" t="s">
        <v>485</v>
      </c>
      <c r="P9" s="32">
        <v>45658</v>
      </c>
    </row>
    <row r="10" spans="2:16">
      <c r="C10" s="28" t="s">
        <v>111</v>
      </c>
      <c r="D10" s="27">
        <v>78.03</v>
      </c>
      <c r="E10" s="27">
        <v>244.20499999999998</v>
      </c>
      <c r="F10" s="27">
        <v>134.38499999999999</v>
      </c>
      <c r="G10" s="27">
        <v>456.61999999999995</v>
      </c>
      <c r="I10" s="36">
        <v>45661</v>
      </c>
      <c r="J10" s="27">
        <v>250.48</v>
      </c>
      <c r="O10" s="31" t="s">
        <v>486</v>
      </c>
      <c r="P10" s="32">
        <v>45659</v>
      </c>
    </row>
    <row r="11" spans="2:16">
      <c r="C11" s="28" t="s">
        <v>134</v>
      </c>
      <c r="D11" s="27">
        <v>71.910000000000011</v>
      </c>
      <c r="E11" s="27">
        <v>303.62</v>
      </c>
      <c r="F11" s="27"/>
      <c r="G11" s="27">
        <v>375.53000000000003</v>
      </c>
      <c r="I11" s="36">
        <v>45662</v>
      </c>
      <c r="J11" s="27">
        <v>162.94999999999999</v>
      </c>
      <c r="O11" s="31" t="s">
        <v>487</v>
      </c>
      <c r="P11" s="32">
        <v>45660</v>
      </c>
    </row>
    <row r="12" spans="2:16">
      <c r="C12" s="23" t="s">
        <v>98</v>
      </c>
      <c r="D12" s="27"/>
      <c r="E12" s="27"/>
      <c r="F12" s="27"/>
      <c r="G12" s="27"/>
      <c r="I12" s="36">
        <v>45663</v>
      </c>
      <c r="J12" s="27">
        <v>325.125</v>
      </c>
      <c r="O12" s="31" t="s">
        <v>488</v>
      </c>
      <c r="P12" s="32">
        <v>45661</v>
      </c>
    </row>
    <row r="13" spans="2:16">
      <c r="C13" s="28" t="s">
        <v>118</v>
      </c>
      <c r="D13" s="27"/>
      <c r="E13" s="27">
        <v>418.03500000000003</v>
      </c>
      <c r="F13" s="27">
        <v>341.62</v>
      </c>
      <c r="G13" s="27">
        <v>759.65500000000009</v>
      </c>
      <c r="I13" s="36">
        <v>45664</v>
      </c>
      <c r="J13" s="27">
        <v>80.919999999999987</v>
      </c>
      <c r="O13" s="31" t="s">
        <v>489</v>
      </c>
      <c r="P13" s="32">
        <v>45662</v>
      </c>
    </row>
    <row r="14" spans="2:16">
      <c r="C14" s="28" t="s">
        <v>121</v>
      </c>
      <c r="D14" s="27"/>
      <c r="E14" s="27">
        <v>32.895000000000003</v>
      </c>
      <c r="F14" s="27">
        <v>10.965</v>
      </c>
      <c r="G14" s="27">
        <v>43.86</v>
      </c>
      <c r="I14" s="36">
        <v>45665</v>
      </c>
      <c r="J14" s="27">
        <v>273.22500000000002</v>
      </c>
      <c r="O14" s="31" t="s">
        <v>490</v>
      </c>
      <c r="P14" s="32">
        <v>45663</v>
      </c>
    </row>
    <row r="15" spans="2:16">
      <c r="C15" s="23" t="s">
        <v>114</v>
      </c>
      <c r="D15" s="27"/>
      <c r="E15" s="27"/>
      <c r="F15" s="27"/>
      <c r="G15" s="27"/>
      <c r="I15" s="36">
        <v>45666</v>
      </c>
      <c r="J15" s="27">
        <v>96.6</v>
      </c>
      <c r="O15" s="31" t="s">
        <v>491</v>
      </c>
      <c r="P15" s="32">
        <v>45664</v>
      </c>
    </row>
    <row r="16" spans="2:16">
      <c r="C16" s="28" t="s">
        <v>113</v>
      </c>
      <c r="D16" s="27">
        <v>113.39999999999999</v>
      </c>
      <c r="E16" s="27">
        <v>146.47499999999999</v>
      </c>
      <c r="F16" s="27">
        <v>17.009999999999998</v>
      </c>
      <c r="G16" s="27">
        <v>276.88499999999993</v>
      </c>
      <c r="I16" s="36">
        <v>45667</v>
      </c>
      <c r="J16" s="27">
        <v>171.51499999999999</v>
      </c>
      <c r="O16" s="31" t="s">
        <v>492</v>
      </c>
      <c r="P16" s="32">
        <v>45665</v>
      </c>
    </row>
    <row r="17" spans="2:16">
      <c r="C17" s="28" t="s">
        <v>123</v>
      </c>
      <c r="D17" s="27">
        <v>74.900000000000006</v>
      </c>
      <c r="E17" s="27"/>
      <c r="F17" s="27"/>
      <c r="G17" s="27">
        <v>74.900000000000006</v>
      </c>
      <c r="I17" s="36">
        <v>45668</v>
      </c>
      <c r="J17" s="27">
        <v>79.8</v>
      </c>
      <c r="O17" s="38" t="s">
        <v>482</v>
      </c>
      <c r="P17" s="32">
        <v>45666</v>
      </c>
    </row>
    <row r="18" spans="2:16">
      <c r="C18" s="54" t="s">
        <v>493</v>
      </c>
      <c r="D18" s="55">
        <v>451.95499999999993</v>
      </c>
      <c r="E18" s="55">
        <v>1252.96</v>
      </c>
      <c r="F18" s="55">
        <v>885.02499999999998</v>
      </c>
      <c r="G18" s="55">
        <v>2589.94</v>
      </c>
      <c r="I18" s="36">
        <v>45669</v>
      </c>
      <c r="J18" s="27">
        <v>609.68499999999995</v>
      </c>
      <c r="O18" s="31" t="s">
        <v>483</v>
      </c>
      <c r="P18" s="32">
        <v>45667</v>
      </c>
    </row>
    <row r="19" spans="2:16">
      <c r="I19" s="54" t="s">
        <v>493</v>
      </c>
      <c r="J19" s="55">
        <v>2589.94</v>
      </c>
      <c r="O19" s="31" t="s">
        <v>484</v>
      </c>
      <c r="P19" s="32">
        <v>45668</v>
      </c>
    </row>
    <row r="20" spans="2:16">
      <c r="P20" s="32">
        <v>45669</v>
      </c>
    </row>
    <row r="21" spans="2:16" ht="15">
      <c r="C21" s="51" t="s">
        <v>525</v>
      </c>
      <c r="D21" s="51"/>
      <c r="F21" s="51" t="s">
        <v>528</v>
      </c>
      <c r="G21" s="51"/>
      <c r="I21" s="51" t="s">
        <v>522</v>
      </c>
      <c r="J21" s="51"/>
      <c r="K21" s="52"/>
    </row>
    <row r="22" spans="2:16" ht="15">
      <c r="C22" s="22" t="s">
        <v>86</v>
      </c>
      <c r="D22" t="s" vm="1">
        <v>126</v>
      </c>
      <c r="F22" s="61" t="s">
        <v>526</v>
      </c>
      <c r="G22" s="61" t="s">
        <v>89</v>
      </c>
      <c r="I22" s="57" t="s">
        <v>480</v>
      </c>
      <c r="J22" s="57" t="s">
        <v>494</v>
      </c>
      <c r="K22" s="61" t="s">
        <v>509</v>
      </c>
    </row>
    <row r="23" spans="2:16">
      <c r="C23" s="57"/>
      <c r="D23" s="57" t="s">
        <v>523</v>
      </c>
      <c r="F23" s="66" t="str">
        <f>C25</f>
        <v>Café tradicional 500g</v>
      </c>
      <c r="G23" s="65">
        <f>GETPIVOTDATA("[Measures].[Soma de Quantidade]",$C$24,"[Vendas].[Produto]","[Vendas].[Produto].&amp;[Café especial 250g]")</f>
        <v>16</v>
      </c>
      <c r="I23" s="23" t="s">
        <v>100</v>
      </c>
      <c r="J23" s="27">
        <v>1252.96</v>
      </c>
      <c r="K23" s="59">
        <v>66.239999999999995</v>
      </c>
    </row>
    <row r="24" spans="2:16" ht="15">
      <c r="C24" s="57" t="s">
        <v>480</v>
      </c>
      <c r="D24" s="57" t="s">
        <v>69</v>
      </c>
      <c r="F24" s="64"/>
      <c r="G24" s="67"/>
      <c r="I24" s="23" t="s">
        <v>106</v>
      </c>
      <c r="J24" s="27">
        <v>885.02499999999998</v>
      </c>
      <c r="K24" s="58">
        <v>76.22</v>
      </c>
    </row>
    <row r="25" spans="2:16">
      <c r="B25" s="27"/>
      <c r="C25" s="23" t="s">
        <v>111</v>
      </c>
      <c r="D25" s="42">
        <v>17</v>
      </c>
      <c r="I25" s="23" t="s">
        <v>128</v>
      </c>
      <c r="J25" s="27">
        <v>451.95499999999993</v>
      </c>
      <c r="K25" s="60">
        <v>81.040000000000006</v>
      </c>
    </row>
    <row r="26" spans="2:16" ht="15">
      <c r="C26" s="23" t="s">
        <v>103</v>
      </c>
      <c r="D26" s="42">
        <v>16</v>
      </c>
      <c r="F26" s="51" t="s">
        <v>527</v>
      </c>
      <c r="G26" s="51"/>
      <c r="I26" s="54" t="s">
        <v>493</v>
      </c>
      <c r="J26" s="55">
        <v>2589.94</v>
      </c>
      <c r="K26" s="57"/>
    </row>
    <row r="27" spans="2:16" ht="15">
      <c r="C27" s="23" t="s">
        <v>113</v>
      </c>
      <c r="D27" s="42">
        <v>15</v>
      </c>
      <c r="F27" s="61" t="s">
        <v>526</v>
      </c>
      <c r="G27" s="61" t="s">
        <v>89</v>
      </c>
    </row>
    <row r="28" spans="2:16">
      <c r="C28" s="23" t="s">
        <v>118</v>
      </c>
      <c r="D28" s="42">
        <v>9</v>
      </c>
      <c r="F28" s="66" t="str">
        <f>C32</f>
        <v>Total Geral</v>
      </c>
      <c r="G28" s="65">
        <f>GETPIVOTDATA("[Measures].[Soma de Quantidade]",$C$24,"[Vendas].[Produto]","[Vendas].[Produto].&amp;[Garrafa térmica]")</f>
        <v>9</v>
      </c>
    </row>
    <row r="29" spans="2:16" ht="15">
      <c r="C29" s="23" t="s">
        <v>134</v>
      </c>
      <c r="D29" s="42">
        <v>5</v>
      </c>
      <c r="F29" s="64"/>
      <c r="G29" s="67"/>
    </row>
    <row r="30" spans="2:16">
      <c r="C30" s="23" t="s">
        <v>121</v>
      </c>
      <c r="D30" s="42">
        <v>4</v>
      </c>
    </row>
    <row r="31" spans="2:16">
      <c r="C31" s="23" t="s">
        <v>123</v>
      </c>
      <c r="D31" s="42">
        <v>1</v>
      </c>
    </row>
    <row r="32" spans="2:16">
      <c r="C32" s="54" t="s">
        <v>493</v>
      </c>
      <c r="D32" s="55">
        <v>67</v>
      </c>
    </row>
  </sheetData>
  <pageMargins left="0.511811024" right="0.511811024" top="0.78740157499999996" bottom="0.78740157499999996" header="0.31496062000000002" footer="0.31496062000000002"/>
  <pageSetup paperSize="9" orientation="portrait" r:id="rId5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7E5BD-31A2-4359-A7AC-C0C780B28287}">
  <dimension ref="A1:U2"/>
  <sheetViews>
    <sheetView showGridLines="0" showRowColHeaders="0" topLeftCell="B1" workbookViewId="0">
      <selection activeCell="M4" sqref="M4"/>
    </sheetView>
  </sheetViews>
  <sheetFormatPr defaultRowHeight="14.25"/>
  <cols>
    <col min="1" max="1" width="24" style="48" customWidth="1"/>
    <col min="8" max="8" width="8.75" customWidth="1"/>
    <col min="9" max="9" width="9" customWidth="1"/>
    <col min="16" max="16" width="9" customWidth="1"/>
  </cols>
  <sheetData>
    <row r="1" spans="2:21" ht="53.25" customHeight="1" thickBot="1">
      <c r="B1" s="49"/>
      <c r="C1" s="50" t="s">
        <v>529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</row>
    <row r="2" spans="2:21" ht="15" thickTop="1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27463B87-3DD9-4FFC-BCBD-8F6B9F039A62}">
  <ds:schemaRefs/>
</ds:datastoreItem>
</file>

<file path=customXml/itemProps2.xml><?xml version="1.0" encoding="utf-8"?>
<ds:datastoreItem xmlns:ds="http://schemas.openxmlformats.org/officeDocument/2006/customXml" ds:itemID="{A7DB6397-CD4D-4B60-9CE3-613FBC30C989}">
  <ds:schemaRefs/>
</ds:datastoreItem>
</file>

<file path=customXml/itemProps3.xml><?xml version="1.0" encoding="utf-8"?>
<ds:datastoreItem xmlns:ds="http://schemas.openxmlformats.org/officeDocument/2006/customXml" ds:itemID="{A461E45C-5792-487B-B34B-CA4291564C7A}">
  <ds:schemaRefs/>
</ds:datastoreItem>
</file>

<file path=customXml/itemProps4.xml><?xml version="1.0" encoding="utf-8"?>
<ds:datastoreItem xmlns:ds="http://schemas.openxmlformats.org/officeDocument/2006/customXml" ds:itemID="{04BA1A60-CE2D-4CDB-9814-036177BB8901}">
  <ds:schemaRefs/>
</ds:datastoreItem>
</file>

<file path=customXml/itemProps5.xml><?xml version="1.0" encoding="utf-8"?>
<ds:datastoreItem xmlns:ds="http://schemas.openxmlformats.org/officeDocument/2006/customXml" ds:itemID="{0ED10BFF-E3A7-4D3B-AA0C-50DC8DDF56B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Base de vendas</vt:lpstr>
      <vt:lpstr>Minha análise</vt:lpstr>
      <vt:lpstr>Planilha1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 Aznable</cp:lastModifiedBy>
  <dcterms:modified xsi:type="dcterms:W3CDTF">2026-10-15T00:31:23Z</dcterms:modified>
</cp:coreProperties>
</file>